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C3EE0BC-CC2F-4A18-9D30-9949423F1629}" xr6:coauthVersionLast="47" xr6:coauthVersionMax="47" xr10:uidLastSave="{00000000-0000-0000-0000-000000000000}"/>
  <bookViews>
    <workbookView xWindow="-108" yWindow="-108" windowWidth="23256" windowHeight="12456" tabRatio="500" firstSheet="19" activeTab="23" xr2:uid="{00000000-000D-0000-FFFF-FFFF00000000}"/>
  </bookViews>
  <sheets>
    <sheet name="📋 Tất cả Test Case" sheetId="1" r:id="rId1"/>
    <sheet name="📊 Tổng kết" sheetId="2" r:id="rId2"/>
    <sheet name="🔐 Đăng nhập" sheetId="3" r:id="rId3"/>
    <sheet name="🔑 Quên mật khẩu" sheetId="4" r:id="rId4"/>
    <sheet name="🗺️ Sơ đồ phòng" sheetId="5" r:id="rId5"/>
    <sheet name="📅 Đặt phòng" sheetId="6" r:id="rId6"/>
    <sheet name="✅ Check-in" sheetId="7" r:id="rId7"/>
    <sheet name="🛎️ Thêm dịch vụ" sheetId="8" r:id="rId8"/>
    <sheet name="💳 Thanh toán" sheetId="9" r:id="rId9"/>
    <sheet name="🛏️ QL Phòng" sheetId="10" r:id="rId10"/>
    <sheet name="🏷️ QL Loại phòng" sheetId="11" r:id="rId11"/>
    <sheet name="📋 QL Đặt phòng" sheetId="12" r:id="rId12"/>
    <sheet name="🧾 QL Hóa đơn" sheetId="13" r:id="rId13"/>
    <sheet name="🍽️ QL Dịch vụ" sheetId="14" r:id="rId14"/>
    <sheet name="🪑 QL Tiện nghi" sheetId="15" r:id="rId15"/>
    <sheet name="👥 QL Khách hàng" sheetId="16" r:id="rId16"/>
    <sheet name="👤 QL Nhân viên" sheetId="17" r:id="rId17"/>
    <sheet name="🔒 QL Tài khoản" sheetId="18" r:id="rId18"/>
    <sheet name="📊 Thống kê" sheetId="19" r:id="rId19"/>
    <sheet name="💾 Sao lưu" sheetId="20" r:id="rId20"/>
    <sheet name="⚙️ Phục hồi" sheetId="21" r:id="rId21"/>
    <sheet name="🚪 Tính năng hỗ trợ" sheetId="22" r:id="rId22"/>
    <sheet name="🌐 Đăng xuất" sheetId="23" r:id="rId23"/>
    <sheet name="📌 Website" sheetId="24" r:id="rId24"/>
    <sheet name="Trang_tính1" sheetId="25" r:id="rId25"/>
  </sheets>
  <definedNames>
    <definedName name="_xlnm._FilterDatabase" localSheetId="6" hidden="1">'✅ Check-in'!$A$1:$K$3</definedName>
    <definedName name="_xlnm._FilterDatabase" localSheetId="20" hidden="1">'⚙️ Phục hồi'!$A$1:$K$3</definedName>
    <definedName name="_xlnm._FilterDatabase" localSheetId="22" hidden="1">'🌐 Đăng xuất'!$A$1:$K$2</definedName>
    <definedName name="_xlnm._FilterDatabase" localSheetId="13" hidden="1">'🍽️ QL Dịch vụ'!$A$1:$K$10</definedName>
    <definedName name="_xlnm._FilterDatabase" localSheetId="10" hidden="1">'🏷️ QL Loại phòng'!$A$1:$K$8</definedName>
    <definedName name="_xlnm._FilterDatabase" localSheetId="16" hidden="1">'👤 QL Nhân viên'!$A$1:$K$7</definedName>
    <definedName name="_xlnm._FilterDatabase" localSheetId="15" hidden="1">'👥 QL Khách hàng'!$A$1:$K$9</definedName>
    <definedName name="_xlnm._FilterDatabase" localSheetId="8" hidden="1">'💳 Thanh toán'!$A$1:$K$7</definedName>
    <definedName name="_xlnm._FilterDatabase" localSheetId="19" hidden="1">'💾 Sao lưu'!$A$1:$K$2</definedName>
    <definedName name="_xlnm._FilterDatabase" localSheetId="5" hidden="1">'📅 Đặt phòng'!$A$1:$K$7</definedName>
    <definedName name="_xlnm._FilterDatabase" localSheetId="18" hidden="1">'📊 Thống kê'!$A$1:$K$5</definedName>
    <definedName name="_xlnm._FilterDatabase" localSheetId="11" hidden="1">'📋 QL Đặt phòng'!$A$1:$K$8</definedName>
    <definedName name="_xlnm._FilterDatabase" localSheetId="0" hidden="1">'📋 Tất cả Test Case'!$A$1:$K$125</definedName>
    <definedName name="_xlnm._FilterDatabase" localSheetId="23" hidden="1">'📌 Website'!$A$1:$K$7</definedName>
    <definedName name="_xlnm._FilterDatabase" localSheetId="2" hidden="1">'🔐 Đăng nhập'!$A$1:$K$9</definedName>
    <definedName name="_xlnm._FilterDatabase" localSheetId="3" hidden="1">'🔑 Quên mật khẩu'!$A$1:$K$5</definedName>
    <definedName name="_xlnm._FilterDatabase" localSheetId="17" hidden="1">'🔒 QL Tài khoản'!$A$1:$K$9</definedName>
    <definedName name="_xlnm._FilterDatabase" localSheetId="4" hidden="1">'🗺️ Sơ đồ phòng'!$A$1:$K$7</definedName>
    <definedName name="_xlnm._FilterDatabase" localSheetId="21" hidden="1">'🚪 Tính năng hỗ trợ'!$A$1:$K$10</definedName>
    <definedName name="_xlnm._FilterDatabase" localSheetId="7" hidden="1">'🛎️ Thêm dịch vụ'!$A$1:$K$4</definedName>
    <definedName name="_xlnm._FilterDatabase" localSheetId="9" hidden="1">'🛏️ QL Phòng'!$A$1:$K$11</definedName>
    <definedName name="_xlnm._FilterDatabase" localSheetId="12" hidden="1">'🧾 QL Hóa đơn'!$A$1:$K$6</definedName>
    <definedName name="_xlnm._FilterDatabase" localSheetId="14" hidden="1">'🪑 QL Tiện nghi'!$A$1:$K$7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6" i="2" l="1"/>
  <c r="E26" i="2"/>
  <c r="D26" i="2"/>
  <c r="G26" i="2" s="1"/>
  <c r="C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</calcChain>
</file>

<file path=xl/sharedStrings.xml><?xml version="1.0" encoding="utf-8"?>
<sst xmlns="http://schemas.openxmlformats.org/spreadsheetml/2006/main" count="2460" uniqueCount="710">
  <si>
    <t>STT</t>
  </si>
  <si>
    <t>Mã TC</t>
  </si>
  <si>
    <t>Module</t>
  </si>
  <si>
    <t>Tên Test Case</t>
  </si>
  <si>
    <t>Điều kiện tiên quyết</t>
  </si>
  <si>
    <t>Các bước thực hiện</t>
  </si>
  <si>
    <t>Dữ liệu test</t>
  </si>
  <si>
    <t>Kết quả mong đợi</t>
  </si>
  <si>
    <t>Kết quả thực tế</t>
  </si>
  <si>
    <t>Trạng thái</t>
  </si>
  <si>
    <t>Ghi chú</t>
  </si>
  <si>
    <t>TC-AUTH-01</t>
  </si>
  <si>
    <t>Đăng nhập</t>
  </si>
  <si>
    <t>Đăng nhập thành công - Admin</t>
  </si>
  <si>
    <t>Hệ thống đang chạy, trang đăng nhập hiển thị</t>
  </si>
  <si>
    <t>1. Nhập username: admin1
2. Nhập password: 123456
3. Nhấn 'Đăng nhập'</t>
  </si>
  <si>
    <t>user: admin1 / pw: 123456</t>
  </si>
  <si>
    <t>Đăng nhập thành công. Giao diện Admin với đầy đủ 14 menu chức năng</t>
  </si>
  <si>
    <t>Pass</t>
  </si>
  <si>
    <t>TC-AUTH-02</t>
  </si>
  <si>
    <t>Đăng nhập thành công - Quản lý</t>
  </si>
  <si>
    <t>Hệ thống đang chạy</t>
  </si>
  <si>
    <t>1. Nhập username: quanly1
2. Nhập password: 123456
3. Nhấn 'Đăng nhập'</t>
  </si>
  <si>
    <t>user: quanly1 / pw: 123456</t>
  </si>
  <si>
    <t>Đăng nhập thành công. Giao diện Quản lý - không có menu 'Quản lý tài khoản'</t>
  </si>
  <si>
    <t>TC-AUTH-03</t>
  </si>
  <si>
    <t>Đăng nhập thành công - Lễ tân</t>
  </si>
  <si>
    <t>1. Nhập username: nhanvien1
2. Nhập password: 123456
3. Nhấn 'Đăng nhập'</t>
  </si>
  <si>
    <t>user: nhanvien1 / pw: 123456</t>
  </si>
  <si>
    <t>Giao diện Lễ tân: chỉ có Sơ đồ phòng, QL Phòng, QL Loại phòng, QL Đặt phòng, QL Hóa đơn, QL Dịch vụ, QL Khách hàng</t>
  </si>
  <si>
    <t>TC-AUTH-04</t>
  </si>
  <si>
    <t>Đăng nhập sai mật khẩu</t>
  </si>
  <si>
    <t>Trang đăng nhập hiển thị</t>
  </si>
  <si>
    <t>1. Nhập username: admin1
2. Nhập password sai: 000000
3. Nhấn 'Đăng nhập'</t>
  </si>
  <si>
    <t>user: admin1 / pw: 000000</t>
  </si>
  <si>
    <t>Hiển thị thông báo lỗi 'Thông tin đăng nhập không đúng', không vào hệ thống</t>
  </si>
  <si>
    <t>Negative test</t>
  </si>
  <si>
    <t>TC-AUTH-05</t>
  </si>
  <si>
    <t>Đăng nhập tên tài khoản không tồn tại</t>
  </si>
  <si>
    <t>1. Nhập username không tồn tại
2. Nhập password: 123456
3. Nhấn 'Đăng nhập'</t>
  </si>
  <si>
    <t>user: userxxx / pw: 123456</t>
  </si>
  <si>
    <t>Hiển thị thông báo lỗi đăng nhập thất bại</t>
  </si>
  <si>
    <t>TC-AUTH-06</t>
  </si>
  <si>
    <t>Đăng nhập để trống username</t>
  </si>
  <si>
    <t>1. Để trống username
2. Nhập password: 123456
3. Nhấn 'Đăng nhập'</t>
  </si>
  <si>
    <t>user: (trống) / pw: 123456</t>
  </si>
  <si>
    <t>Hệ thống hiển thị thông báo yêu cầu nhập username</t>
  </si>
  <si>
    <t>Pending</t>
  </si>
  <si>
    <t>Cần kiểm tra validation</t>
  </si>
  <si>
    <t>TC-AUTH-07</t>
  </si>
  <si>
    <t>Đăng nhập để trống password</t>
  </si>
  <si>
    <t>1. Nhập username: admin1
2. Để trống password
3. Nhấn 'Đăng nhập'</t>
  </si>
  <si>
    <t>user: admin1 / pw: (trống)</t>
  </si>
  <si>
    <t>Hệ thống hiển thị thông báo yêu cầu nhập password</t>
  </si>
  <si>
    <t>TC-AUTH-08</t>
  </si>
  <si>
    <t>Chức năng hiện/ẩn mật khẩu</t>
  </si>
  <si>
    <t>1. Nhập password
2. Nhấn icon hiện mật khẩu
3. Nhấn lại để ẩn</t>
  </si>
  <si>
    <t>pw: 123456</t>
  </si>
  <si>
    <t>Mật khẩu hiện rõ khi bật icon, ẩn thành *** khi tắt</t>
  </si>
  <si>
    <t>TC-FORG-01</t>
  </si>
  <si>
    <t>Quên mật khẩu</t>
  </si>
  <si>
    <t>Gửi OTP thành công</t>
  </si>
  <si>
    <t>Tài khoản tồn tại, có email đã đăng ký</t>
  </si>
  <si>
    <t>1. Nhấn link 'Quên mật khẩu'
2. Nhập username và email đúng
3. Nhấn 'Lấy mã OTP'</t>
  </si>
  <si>
    <t>user: nhanvien1 / email: (email đăng ký)</t>
  </si>
  <si>
    <t>Hệ thống gửi mã OTP 6 chữ số về email, hiển thị thông báo kiểm tra email</t>
  </si>
  <si>
    <t>TC-FORG-02</t>
  </si>
  <si>
    <t>OTP đúng - Đổi mật khẩu thành công</t>
  </si>
  <si>
    <t>Đã nhận OTP hợp lệ</t>
  </si>
  <si>
    <t>1. Nhập OTP đúng
2. Nhập mật khẩu mới
3. Xác nhận mật khẩu mới
4. Nhấn Xác nhận</t>
  </si>
  <si>
    <t>OTP: (6 số đúng)
MK mới: NewPass@123</t>
  </si>
  <si>
    <t>Cập nhật thành công, thông báo đổi MK thành công, chuyển về trang đăng nhập</t>
  </si>
  <si>
    <t>TC-FORG-03</t>
  </si>
  <si>
    <t>OTP sai</t>
  </si>
  <si>
    <t>Đã mở form nhập OTP</t>
  </si>
  <si>
    <t>1. Nhập mã OTP sai
2. Nhấn Xác nhận</t>
  </si>
  <si>
    <t>OTP: 000000 (sai)</t>
  </si>
  <si>
    <t>Thông báo OTP không hợp lệ, yêu cầu nhập lại</t>
  </si>
  <si>
    <t>TC-FORG-04</t>
  </si>
  <si>
    <t>Email không khớp username</t>
  </si>
  <si>
    <t>Trang quên mật khẩu hiển thị</t>
  </si>
  <si>
    <t>1. Nhập username hợp lệ
2. Nhập email không khớp
3. Nhấn 'Lấy mã OTP'</t>
  </si>
  <si>
    <t>user: admin1 / email: sai@gmail.com</t>
  </si>
  <si>
    <t>Thông báo thông tin không chính xác, không gửi OTP</t>
  </si>
  <si>
    <t>TC-MAP-01</t>
  </si>
  <si>
    <t>Sơ đồ phòng</t>
  </si>
  <si>
    <t>Hiển thị sơ đồ phòng</t>
  </si>
  <si>
    <t>Đăng nhập thành công</t>
  </si>
  <si>
    <t>Nhấn menu 'Sơ đồ phòng'</t>
  </si>
  <si>
    <t>—</t>
  </si>
  <si>
    <t>Lưới sơ đồ hiển thị toàn bộ phòng: số phòng, loại phòng, màu trạng thái</t>
  </si>
  <si>
    <t>TC-MAP-02</t>
  </si>
  <si>
    <t>Lọc phòng trạng thái Trống</t>
  </si>
  <si>
    <t>Đang ở màn hình Sơ đồ phòng</t>
  </si>
  <si>
    <t>Chọn lọc 'Phòng trống'</t>
  </si>
  <si>
    <t>Lọc: Phòng trống</t>
  </si>
  <si>
    <t>Chỉ hiển thị phòng đang trống</t>
  </si>
  <si>
    <t>TC-MAP-03</t>
  </si>
  <si>
    <t>Lọc phòng đang thuê</t>
  </si>
  <si>
    <t>Chọn lọc 'Phòng đang thuê'</t>
  </si>
  <si>
    <t>Lọc: Phòng đang thuê</t>
  </si>
  <si>
    <t>Chỉ hiển thị phòng có khách lưu trú</t>
  </si>
  <si>
    <t>TC-MAP-04</t>
  </si>
  <si>
    <t>Lọc theo loại phòng VIP Đơn</t>
  </si>
  <si>
    <t>Chọn lọc loại phòng 'VIP Đơn'</t>
  </si>
  <si>
    <t>Loại: VIP Đơn</t>
  </si>
  <si>
    <t>Chỉ hiển thị phòng VIP Đơn</t>
  </si>
  <si>
    <t>TC-MAP-05</t>
  </si>
  <si>
    <t>Lọc theo tình trạng Chưa dọn</t>
  </si>
  <si>
    <t>Chọn lọc 'Chưa dọn dẹp'</t>
  </si>
  <si>
    <t>Lọc: Chưa dọn</t>
  </si>
  <si>
    <t>Chỉ hiển thị phòng chưa dọn dẹp</t>
  </si>
  <si>
    <t>TC-MAP-06</t>
  </si>
  <si>
    <t>Xem thông tin chi tiết phòng</t>
  </si>
  <si>
    <t>Sơ đồ phòng đang hiển thị</t>
  </si>
  <si>
    <t>Nhấn vào bất kỳ phòng nào</t>
  </si>
  <si>
    <t>Form thông tin phòng hiển thị: tình trạng, tình trạng dọn, các nút chức năng phù hợp</t>
  </si>
  <si>
    <t>TC-BOOK-01</t>
  </si>
  <si>
    <t>Đặt phòng</t>
  </si>
  <si>
    <t>Đặt phòng thành công</t>
  </si>
  <si>
    <t>Có phòng trạng thái Trống</t>
  </si>
  <si>
    <t>1. Nhấn vào phòng trống
2. Nhấn 'Đặt phòng'
3. Điền đầy đủ thông tin
4. Nhấn 'Đặt trước'</t>
  </si>
  <si>
    <t>HT: Nguyễn Văn A
CCCD: 012345678901
ĐT: 0901234567
Email: a@gmail.com
Nhận: 20/04/2026 Trả: 22/04/2026</t>
  </si>
  <si>
    <t>Thông báo đặt phòng thành công, lưu vào DB</t>
  </si>
  <si>
    <t>TC-BOOK-02</t>
  </si>
  <si>
    <t>SĐT không hợp lệ</t>
  </si>
  <si>
    <t>Form đặt phòng đang mở</t>
  </si>
  <si>
    <t>1. Nhập SĐT thiếu số
2. Nhấn 'Đặt trước'</t>
  </si>
  <si>
    <t>ĐT: 090123 (6 số)</t>
  </si>
  <si>
    <t>Thông báo lỗi yêu cầu SĐT hợp lệ (đủ 10 số)</t>
  </si>
  <si>
    <t>TC-BOOK-03</t>
  </si>
  <si>
    <t>Để trống tên khách hàng</t>
  </si>
  <si>
    <t>1. Để trống họ tên
2. Nhấn 'Đặt trước'</t>
  </si>
  <si>
    <t>HT: (trống)</t>
  </si>
  <si>
    <t>Thông báo lỗi yêu cầu nhập họ tên</t>
  </si>
  <si>
    <t>TC-BOOK-04</t>
  </si>
  <si>
    <t>Ngày trả trước ngày nhận</t>
  </si>
  <si>
    <t>1. Nhập ngày nhận: 22/04/2026
2. Nhập ngày trả: 20/04/2026
3. Nhấn 'Đặt trước'</t>
  </si>
  <si>
    <t>Nhận: 22/04 - Trả: 20/04</t>
  </si>
  <si>
    <t>Thông báo lỗi ngày trả phải sau ngày nhận</t>
  </si>
  <si>
    <t>TC-BOOK-05</t>
  </si>
  <si>
    <t>Phòng vẫn Trống khi chưa đến giờ nhận</t>
  </si>
  <si>
    <t>Đặt phòng thành công, ngày nhận = ngày mai</t>
  </si>
  <si>
    <t>Quan sát sơ đồ phòng ngay sau đặt</t>
  </si>
  <si>
    <t>Ngày nhận: ngày mai</t>
  </si>
  <si>
    <t>Phòng vẫn hiển thị màu 'Phòng trống'</t>
  </si>
  <si>
    <t>Auto-state test</t>
  </si>
  <si>
    <t>TC-BOOK-06</t>
  </si>
  <si>
    <t>Phòng tự chuyển sang 'Đã đặt' đúng giờ</t>
  </si>
  <si>
    <t>Đã đặt, đến thời điểm ngày nhận phòng</t>
  </si>
  <si>
    <t>Quan sát sơ đồ khi thời gian = ngày nhận</t>
  </si>
  <si>
    <t>Thời gian: đúng ngày nhận</t>
  </si>
  <si>
    <t>Phòng tự động chuyển sang màu 'Phòng đã đặt'</t>
  </si>
  <si>
    <t>Auto-trigger</t>
  </si>
  <si>
    <t>TC-CI-01</t>
  </si>
  <si>
    <t>Check-in</t>
  </si>
  <si>
    <t>Check-in thành công</t>
  </si>
  <si>
    <t>Phòng trạng thái 'Đã đặt'</t>
  </si>
  <si>
    <t>1. Nhấn vào phòng đã đặt
2. Nhấn 'Nhận phòng'
3. Xác nhận</t>
  </si>
  <si>
    <t>Phòng chuyển sang 'Phòng đang thuê', màu thay đổi trên sơ đồ</t>
  </si>
  <si>
    <t>TC-CI-02</t>
  </si>
  <si>
    <t>Nút chức năng đúng sau check-in</t>
  </si>
  <si>
    <t>Phòng đang thuê</t>
  </si>
  <si>
    <t>Xem form thông tin phòng đang thuê</t>
  </si>
  <si>
    <t>Form hiển thị nút 'Thêm dịch vụ' và 'Thanh toán'; không có nút 'Đặt phòng'</t>
  </si>
  <si>
    <t>UI verification</t>
  </si>
  <si>
    <t>TC-SV-01</t>
  </si>
  <si>
    <t>Thêm dịch vụ</t>
  </si>
  <si>
    <t>Thêm dịch vụ thành công</t>
  </si>
  <si>
    <t>1. Nhấn 'Thêm dịch vụ'
2. Chọn dịch vụ + số lượng
3. Nhấn 'Lưu'</t>
  </si>
  <si>
    <t>Nước suối: 2
Mì ăn liền: 1
Giặt ủi: 1</t>
  </si>
  <si>
    <t>Form phòng cập nhật danh sách dịch vụ với số lượng và thành tiền</t>
  </si>
  <si>
    <t>TC-SV-02</t>
  </si>
  <si>
    <t>Thêm dịch vụ số lượng = 0</t>
  </si>
  <si>
    <t>Form thêm dịch vụ đang mở</t>
  </si>
  <si>
    <t>1. Chọn dịch vụ
2. Nhập SL = 0
3. Nhấn 'Lưu'</t>
  </si>
  <si>
    <t>SL: 0</t>
  </si>
  <si>
    <t>Hệ thống không thêm hoặc hiển thị cảnh báo SL phải &gt; 0</t>
  </si>
  <si>
    <t>TC-SV-03</t>
  </si>
  <si>
    <t>Dịch vụ tính vào hóa đơn check-out</t>
  </si>
  <si>
    <t>Đã thêm dịch vụ, thực hiện checkout</t>
  </si>
  <si>
    <t>Kiểm tra hóa đơn sau checkout</t>
  </si>
  <si>
    <t>Hóa đơn hiển thị đủ dịch vụ đã dùng, cộng vào tổng tiền</t>
  </si>
  <si>
    <t>TC-CO-01</t>
  </si>
  <si>
    <t>Thanh toán</t>
  </si>
  <si>
    <t>Thanh toán tiền mặt thành công</t>
  </si>
  <si>
    <t>1. Nhấn 'Thanh toán'
2. Nhấn 'Thanh toán tiền mặt'
3. Nhập số tiền khách đưa
4. Nhấn 'Xác nhận thanh toán'</t>
  </si>
  <si>
    <t>Tiền khách: 1.000.000đ</t>
  </si>
  <si>
    <t>Thông báo thành công, phòng về 'Trống - Chưa dọn', hóa đơn được tạo</t>
  </si>
  <si>
    <t>TC-CO-02</t>
  </si>
  <si>
    <t>Thanh toán VietQR thành công</t>
  </si>
  <si>
    <t>1. Nhấn 'Thanh toán VietQR'
2. Khách quét mã QR</t>
  </si>
  <si>
    <t>Mã QR hiển thị, sau khi quét xác nhận 'Thanh toán thành công'</t>
  </si>
  <si>
    <t>TC-CO-03</t>
  </si>
  <si>
    <t>Tính tiền thối đúng</t>
  </si>
  <si>
    <t>Màn hình thanh toán tiền mặt</t>
  </si>
  <si>
    <t>Nhập số tiền khách đưa</t>
  </si>
  <si>
    <t>Tổng: 800.000đ
Khách đưa: 1.000.000đ</t>
  </si>
  <si>
    <t>Tiền thối hiển thị: 200.000đ (tự động tính)</t>
  </si>
  <si>
    <t>TC-CO-04</t>
  </si>
  <si>
    <t>Gửi hóa đơn email sau thanh toán</t>
  </si>
  <si>
    <t>Thanh toán thành công</t>
  </si>
  <si>
    <t>Kiểm tra email của khách</t>
  </si>
  <si>
    <t>Email KH</t>
  </si>
  <si>
    <t>Email hóa đơn điện tử gửi tự động, đầy đủ thông tin</t>
  </si>
  <si>
    <t>TC-CO-05</t>
  </si>
  <si>
    <t>In hóa đơn</t>
  </si>
  <si>
    <t>Màn hình hóa đơn sau thanh toán</t>
  </si>
  <si>
    <t>Nhấn nút In trên màn hình hóa đơn</t>
  </si>
  <si>
    <t>Giao diện xem trước in hiển thị, in được ra giấy</t>
  </si>
  <si>
    <t>TC-CO-06</t>
  </si>
  <si>
    <t>Phòng về trạng thái Trống sau checkout</t>
  </si>
  <si>
    <t>Quan sát sơ đồ phòng</t>
  </si>
  <si>
    <t>Phòng chuyển về 'Phòng trống - Chưa dọn dẹp'</t>
  </si>
  <si>
    <t>TC-RM-01</t>
  </si>
  <si>
    <t>QL Phòng</t>
  </si>
  <si>
    <t>Xem danh sách phòng</t>
  </si>
  <si>
    <t>Đăng nhập Admin/QL</t>
  </si>
  <si>
    <t>Nhấn menu 'Quản lý phòng'</t>
  </si>
  <si>
    <t>Danh sách đầy đủ phòng: mã, số, loại, trạng thái, giá</t>
  </si>
  <si>
    <t>TC-RM-02</t>
  </si>
  <si>
    <t>Tìm kiếm phòng theo mã</t>
  </si>
  <si>
    <t>Màn hình QL phòng</t>
  </si>
  <si>
    <t>Nhập mã phòng → Nhấn tìm kiếm</t>
  </si>
  <si>
    <t>Từ khóa: P506</t>
  </si>
  <si>
    <t>Danh sách lọc chỉ hiển thị P506</t>
  </si>
  <si>
    <t>TC-RM-03</t>
  </si>
  <si>
    <t>Tìm kiếm không có kết quả</t>
  </si>
  <si>
    <t>Nhập từ khóa không tồn tại</t>
  </si>
  <si>
    <t>Từ khóa: XXXXXXX</t>
  </si>
  <si>
    <t>Danh sách rỗng hoặc thông báo không tìm thấy</t>
  </si>
  <si>
    <t>Edge case</t>
  </si>
  <si>
    <t>TC-RM-04</t>
  </si>
  <si>
    <t>Thêm phòng mới thành công</t>
  </si>
  <si>
    <t>1. Nhấn 'Thêm'
2. Nhập thông tin
3. Nhấn 'Thêm'</t>
  </si>
  <si>
    <t>Phòng: P506
Loại: VIP Đơn
TT: Trống
Dọn: Đã dọn</t>
  </si>
  <si>
    <t>Thông báo thêm thành công, P506 xuất hiện trong danh sách</t>
  </si>
  <si>
    <t>TC-RM-05</t>
  </si>
  <si>
    <t>Thêm phòng số phòng đã tồn tại</t>
  </si>
  <si>
    <t>Form thêm phòng</t>
  </si>
  <si>
    <t>Nhập số phòng đã có → Nhấn 'Thêm'</t>
  </si>
  <si>
    <t>Phòng: P101 (đã có)</t>
  </si>
  <si>
    <t>Thông báo lỗi: số phòng đã tồn tại</t>
  </si>
  <si>
    <t>TC-RM-06</t>
  </si>
  <si>
    <t>Sửa thông tin phòng</t>
  </si>
  <si>
    <t>Có phòng trong danh sách</t>
  </si>
  <si>
    <t>1. Nhấn sửa / double-click
2. Thay đổi info
3. Nhấn 'Lưu'</t>
  </si>
  <si>
    <t>Đổi TT dọn: Chưa → Đã</t>
  </si>
  <si>
    <t>Thông báo thành công, danh sách cập nhật</t>
  </si>
  <si>
    <t>TC-RM-07</t>
  </si>
  <si>
    <t>Xóa phòng thành công</t>
  </si>
  <si>
    <t>Phòng không đang sử dụng</t>
  </si>
  <si>
    <t>1. Nhấn xóa
2. Xác nhận 'Có'</t>
  </si>
  <si>
    <t>Phòng: P506</t>
  </si>
  <si>
    <t>Xóa thành công, P506 không còn trong DS</t>
  </si>
  <si>
    <t>TC-RM-08</t>
  </si>
  <si>
    <t>In danh sách phòng</t>
  </si>
  <si>
    <t>Nhấn nút In</t>
  </si>
  <si>
    <t>Báo cáo tình trạng phòng hiển thị để in</t>
  </si>
  <si>
    <t>TC-RM-09</t>
  </si>
  <si>
    <t>Xuất Excel danh sách phòng</t>
  </si>
  <si>
    <t>Nhấn 'Xuất Excel'</t>
  </si>
  <si>
    <t>File Excel tạo: mã, số phòng, loại, trạng thái, giá</t>
  </si>
  <si>
    <t>TC-RM-10</t>
  </si>
  <si>
    <t>Lễ tân không có quyền Thêm phòng</t>
  </si>
  <si>
    <t>Đăng nhập tài khoản Lễ tân</t>
  </si>
  <si>
    <t>1. Vào QL Phòng
2. Nhấn 'Thêm'</t>
  </si>
  <si>
    <t>TK lễ tân</t>
  </si>
  <si>
    <t>Thông báo 'Không có quyền thực hiện thao tác này'</t>
  </si>
  <si>
    <t>Phân quyền</t>
  </si>
  <si>
    <t>TC-RT-01</t>
  </si>
  <si>
    <t>QL Loại phòng</t>
  </si>
  <si>
    <t>Xem danh sách loại phòng</t>
  </si>
  <si>
    <t>Nhấn 'Quản lý loại phòng'</t>
  </si>
  <si>
    <t>DS: Thường Đơn, Thường Đôi, VIP Đơn, VIP Đôi với giá tương ứng</t>
  </si>
  <si>
    <t>TC-RT-02</t>
  </si>
  <si>
    <t>Tìm kiếm loại phòng</t>
  </si>
  <si>
    <t>Màn hình QL loại phòng</t>
  </si>
  <si>
    <t>Nhập tên loại phòng → Enter</t>
  </si>
  <si>
    <t>Từ khóa: VIP</t>
  </si>
  <si>
    <t>Hiển thị VIP Đơn, VIP Đôi</t>
  </si>
  <si>
    <t>TC-RT-03</t>
  </si>
  <si>
    <t>Xem chi tiết tiện nghi loại phòng</t>
  </si>
  <si>
    <t>Chọn loại phòng</t>
  </si>
  <si>
    <t>Nhấn 'Xem chi tiết tiện nghi'</t>
  </si>
  <si>
    <t>DS tiện nghi: tên, SL, ghi chú</t>
  </si>
  <si>
    <t>TC-RT-04</t>
  </si>
  <si>
    <t>Thêm tiện nghi vào loại phòng</t>
  </si>
  <si>
    <t>Form chi tiết tiện nghi</t>
  </si>
  <si>
    <t>1. Nhấn thêm tiện nghi
2. Chọn tiện nghi, nhập SL
3. Lưu</t>
  </si>
  <si>
    <t>Tiện nghi: Máy sấy tóc, SL: 1</t>
  </si>
  <si>
    <t>Tiện nghi thêm vào DS loại phòng</t>
  </si>
  <si>
    <t>TC-RT-05</t>
  </si>
  <si>
    <t>Sửa giá loại phòng</t>
  </si>
  <si>
    <t>1. Nhấn sửa
2. Thay đổi giá
3. Nhấn 'Lưu'</t>
  </si>
  <si>
    <t>VIP Đôi: 200.000 → 180.000</t>
  </si>
  <si>
    <t>Thông báo thành công, giá mới hiển thị</t>
  </si>
  <si>
    <t>TC-RT-06</t>
  </si>
  <si>
    <t>Lễ tân không có quyền sửa loại phòng</t>
  </si>
  <si>
    <t>Đăng nhập lễ tân</t>
  </si>
  <si>
    <t>Nhấn nút sửa loại phòng</t>
  </si>
  <si>
    <t>Thông báo không có quyền</t>
  </si>
  <si>
    <t>TC-RT-07</t>
  </si>
  <si>
    <t>Xuất Excel loại phòng</t>
  </si>
  <si>
    <t>File Excel: mã loại, tên, giá, mô tả</t>
  </si>
  <si>
    <t>TC-BM-01</t>
  </si>
  <si>
    <t>QL Đặt phòng</t>
  </si>
  <si>
    <t>Xem danh sách đặt phòng</t>
  </si>
  <si>
    <t>Nhấn 'Quản lý đặt phòng'</t>
  </si>
  <si>
    <t>DS đơn đặt: chờ, đã nhận, hoàn thành</t>
  </si>
  <si>
    <t>TC-BM-02</t>
  </si>
  <si>
    <t>Tìm kiếm theo tên KH</t>
  </si>
  <si>
    <t>Màn hình QL đặt phòng</t>
  </si>
  <si>
    <t>Nhập tên KH → Tìm kiếm</t>
  </si>
  <si>
    <t>Tên: Nguyễn Văn A</t>
  </si>
  <si>
    <t>DS lọc theo tên KH</t>
  </si>
  <si>
    <t>TC-BM-03</t>
  </si>
  <si>
    <t>Đặt phòng từ màn hình QL</t>
  </si>
  <si>
    <t>1. Nhấn 'Đặt phòng'
2. Chọn phòng, nhập thông tin
3. Nhấn 'Đặt trước'</t>
  </si>
  <si>
    <t>(thông tin KH đầy đủ)</t>
  </si>
  <si>
    <t>Đơn mới xuất hiện trong DS</t>
  </si>
  <si>
    <t>TC-BM-04</t>
  </si>
  <si>
    <t>Xem chi tiết đơn đặt phòng</t>
  </si>
  <si>
    <t>Có đơn trong DS</t>
  </si>
  <si>
    <t>Nhấn 'Xem chi tiết'</t>
  </si>
  <si>
    <t>Hiển thị đầy đủ: mã phiếu, KH, phòng, NV, thời gian, trạng thái</t>
  </si>
  <si>
    <t>TC-BM-05</t>
  </si>
  <si>
    <t>Bổ sung phòng thuê</t>
  </si>
  <si>
    <t>Form chi tiết đặt phòng</t>
  </si>
  <si>
    <t>Nhấn thêm phòng thuê, chọn phòng, lưu</t>
  </si>
  <si>
    <t>Phiếu thuê cập nhật thêm phòng mới</t>
  </si>
  <si>
    <t>TC-BM-06</t>
  </si>
  <si>
    <t>Hủy đặt phòng</t>
  </si>
  <si>
    <t>Đơn đặt đang chờ (chưa check-in)</t>
  </si>
  <si>
    <t>1. Nhấn hủy phiếu
2. Xác nhận 'Có'</t>
  </si>
  <si>
    <t>Thông báo hủy thành công, phiếu không còn trong DS</t>
  </si>
  <si>
    <t>TC-BM-07</t>
  </si>
  <si>
    <t>Xuất Excel đặt phòng</t>
  </si>
  <si>
    <t>Nhấn 'Xuất file Excel'</t>
  </si>
  <si>
    <t>File Excel: mã phiếu, tên KH, ngày lập, tên NV</t>
  </si>
  <si>
    <t>TC-INV-01</t>
  </si>
  <si>
    <t>QL Hóa đơn</t>
  </si>
  <si>
    <t>Xem danh sách hóa đơn</t>
  </si>
  <si>
    <t>Nhấn 'Quản lý hóa đơn'</t>
  </si>
  <si>
    <t>DS hóa đơn đã thanh toán</t>
  </si>
  <si>
    <t>TC-INV-02</t>
  </si>
  <si>
    <t>Tìm kiếm hóa đơn theo tên KH</t>
  </si>
  <si>
    <t>Màn hình QL HĐ</t>
  </si>
  <si>
    <t>Nhập tên KH → Tìm</t>
  </si>
  <si>
    <t>Tên KH</t>
  </si>
  <si>
    <t>TC-INV-03</t>
  </si>
  <si>
    <t>Xem chi tiết hóa đơn</t>
  </si>
  <si>
    <t>Có HĐ trong DS</t>
  </si>
  <si>
    <t>Đầy đủ: thông tin KS, KH, phòng, DV, thời gian, tổng tiền</t>
  </si>
  <si>
    <t>TC-INV-04</t>
  </si>
  <si>
    <t>In lại hóa đơn</t>
  </si>
  <si>
    <t>Màn hình chi tiết HĐ</t>
  </si>
  <si>
    <t>Giao diện xem trước in hiển thị</t>
  </si>
  <si>
    <t>TC-INV-05</t>
  </si>
  <si>
    <t>Xuất Excel hóa đơn</t>
  </si>
  <si>
    <t>File Excel: mã HĐ, tên KH, NV, ngày lập, trạng thái</t>
  </si>
  <si>
    <t>TC-SM-01</t>
  </si>
  <si>
    <t>QL Dịch vụ</t>
  </si>
  <si>
    <t>Xem danh sách dịch vụ</t>
  </si>
  <si>
    <t>Nhấn 'Quản lý dịch vụ'</t>
  </si>
  <si>
    <t>DS dịch vụ: mã, tên, đơn giá, SL tồn</t>
  </si>
  <si>
    <t>TC-SM-02</t>
  </si>
  <si>
    <t>Tìm kiếm dịch vụ</t>
  </si>
  <si>
    <t>Màn hình QL DV</t>
  </si>
  <si>
    <t>Nhập tên dịch vụ → Tìm</t>
  </si>
  <si>
    <t>Từ khóa: Giặt ủi</t>
  </si>
  <si>
    <t>Hiển thị dịch vụ 'Giặt ủi'</t>
  </si>
  <si>
    <t>TC-SM-03</t>
  </si>
  <si>
    <t>Thêm dịch vụ mới</t>
  </si>
  <si>
    <t>Tên: Nước cam ép
Giá: 30.000
SL: 100</t>
  </si>
  <si>
    <t>Thêm thành công, xuất hiện trong DS</t>
  </si>
  <si>
    <t>TC-SM-04</t>
  </si>
  <si>
    <t>Thêm dịch vụ đơn giá âm</t>
  </si>
  <si>
    <t>Form thêm DV</t>
  </si>
  <si>
    <t>Nhập đơn giá âm → 'Thêm'</t>
  </si>
  <si>
    <t>Giá: -5000</t>
  </si>
  <si>
    <t>Thông báo lỗi giá không hợp lệ</t>
  </si>
  <si>
    <t>TC-SM-05</t>
  </si>
  <si>
    <t>Sửa thông tin dịch vụ</t>
  </si>
  <si>
    <t>Có DV trong DS</t>
  </si>
  <si>
    <t>1. Nhấn sửa
2. Đổi giá
3. Nhấn 'Cập nhật'</t>
  </si>
  <si>
    <t>Rượu vang: 250.000 → 200.000</t>
  </si>
  <si>
    <t>Cập nhật thành công, giá mới hiển thị</t>
  </si>
  <si>
    <t>TC-SM-06</t>
  </si>
  <si>
    <t>Xóa dịch vụ</t>
  </si>
  <si>
    <t>DV không đang sử dụng</t>
  </si>
  <si>
    <t>Xóa thành công</t>
  </si>
  <si>
    <t>TC-SM-07</t>
  </si>
  <si>
    <t>In danh sách dịch vụ</t>
  </si>
  <si>
    <t>Báo cáo DV hiển thị để in</t>
  </si>
  <si>
    <t>TC-SM-08</t>
  </si>
  <si>
    <t>Xuất Excel dịch vụ</t>
  </si>
  <si>
    <t>File Excel: mã, tên DV, loại, đơn giá</t>
  </si>
  <si>
    <t>TC-SM-09</t>
  </si>
  <si>
    <t>Lễ tân không có quyền thêm DV</t>
  </si>
  <si>
    <t>Nhấn 'Thêm' trong QL DV</t>
  </si>
  <si>
    <t>TC-AM-01</t>
  </si>
  <si>
    <t>QL Tiện nghi</t>
  </si>
  <si>
    <t>Xem danh sách tiện nghi</t>
  </si>
  <si>
    <t>Nhấn 'Quản lý tiện nghi'</t>
  </si>
  <si>
    <t>DS tiện nghi: tivi, máy lạnh, tủ lạnh...</t>
  </si>
  <si>
    <t>TC-AM-02</t>
  </si>
  <si>
    <t>Tìm kiếm tiện nghi</t>
  </si>
  <si>
    <t>Màn hình QL TN</t>
  </si>
  <si>
    <t>Nhập tên → Tìm</t>
  </si>
  <si>
    <t>Từ khóa: Tivi</t>
  </si>
  <si>
    <t>Hiển thị tiện nghi 'Tivi'</t>
  </si>
  <si>
    <t>TC-AM-03</t>
  </si>
  <si>
    <t>Thêm tiện nghi mới</t>
  </si>
  <si>
    <t>1. Nhấn 'Thêm'
2. Nhập tên
3. Nhấn 'Thêm'</t>
  </si>
  <si>
    <t>Tên: Bàn chải đánh răng</t>
  </si>
  <si>
    <t>Thêm thành công</t>
  </si>
  <si>
    <t>TC-AM-04</t>
  </si>
  <si>
    <t>Sửa tiện nghi</t>
  </si>
  <si>
    <t>Có TN trong DS</t>
  </si>
  <si>
    <t>1. Nhấn sửa
2. Đổi tên
3. Nhấn 'Cập nhật'</t>
  </si>
  <si>
    <t>Bàn chải đánh răng → Bàn chải</t>
  </si>
  <si>
    <t>Thành công, tên mới hiển thị</t>
  </si>
  <si>
    <t>TC-AM-05</t>
  </si>
  <si>
    <t>Xóa tiện nghi</t>
  </si>
  <si>
    <t>TN không gắn với loại phòng nào</t>
  </si>
  <si>
    <t>1. Nhấn xóa
2. Xác nhận</t>
  </si>
  <si>
    <t>TC-AM-06</t>
  </si>
  <si>
    <t>In và Xuất Excel tiện nghi</t>
  </si>
  <si>
    <t>Nhấn In / Xuất Excel</t>
  </si>
  <si>
    <t>Báo cáo/file Excel DS tiện nghi</t>
  </si>
  <si>
    <t>TC-CU-01</t>
  </si>
  <si>
    <t>QL Khách hàng</t>
  </si>
  <si>
    <t>Xem danh sách khách hàng</t>
  </si>
  <si>
    <t>Nhấn 'Quản lý khách hàng'</t>
  </si>
  <si>
    <t>DS KH: mã, họ tên, CCCD, SĐT, email</t>
  </si>
  <si>
    <t>TC-CU-02</t>
  </si>
  <si>
    <t>Tìm kiếm theo tên/SĐT</t>
  </si>
  <si>
    <t>Màn hình QL KH</t>
  </si>
  <si>
    <t>Nhập tên hoặc SĐT → Tìm</t>
  </si>
  <si>
    <t>SĐT: 0901234567</t>
  </si>
  <si>
    <t>Hiển thị KH khớp</t>
  </si>
  <si>
    <t>TC-CU-03</t>
  </si>
  <si>
    <t>Thêm khách hàng mới</t>
  </si>
  <si>
    <t>HT: Trần Thị B
CCCD: 098765432101
GT: Nữ
ĐT: 0912345678</t>
  </si>
  <si>
    <t>TC-CU-04</t>
  </si>
  <si>
    <t>Sửa thông tin KH</t>
  </si>
  <si>
    <t>Có KH trong DS</t>
  </si>
  <si>
    <t>1. Nhấn sửa
2. Đổi SĐT
3. Nhấn 'Lưu'</t>
  </si>
  <si>
    <t>Đổi SĐT mới</t>
  </si>
  <si>
    <t>Thành công, info mới hiển thị</t>
  </si>
  <si>
    <t>TC-CU-05</t>
  </si>
  <si>
    <t>Xóa KH - Admin/Quản lý</t>
  </si>
  <si>
    <t>Có KH, không đang thuê</t>
  </si>
  <si>
    <t>TC-CU-06</t>
  </si>
  <si>
    <t>Lễ tân không quyền xóa KH</t>
  </si>
  <si>
    <t>Nhấn xóa KH</t>
  </si>
  <si>
    <t>Thông báo không có quyền xóa</t>
  </si>
  <si>
    <t>TC-CU-07</t>
  </si>
  <si>
    <t>In DS KH theo khoảng thời gian</t>
  </si>
  <si>
    <t>1. Chọn ngày đầu - cuối
2. Lọc theo ngày thuê
3. Nhấn In</t>
  </si>
  <si>
    <t>01/11/2025 - 15/11/2025</t>
  </si>
  <si>
    <t>Báo cáo chỉ KH trong khoảng thời gian lọc</t>
  </si>
  <si>
    <t>TC-CU-08</t>
  </si>
  <si>
    <t>Xuất Excel KH</t>
  </si>
  <si>
    <t>File Excel: mã KH, họ tên, CCCD, SĐT, email</t>
  </si>
  <si>
    <t>TC-ST-01</t>
  </si>
  <si>
    <t>QL Nhân viên</t>
  </si>
  <si>
    <t>Xem danh sách NV</t>
  </si>
  <si>
    <t>Nhấn 'Quản lý nhân viên'</t>
  </si>
  <si>
    <t>DS NV: mã, họ tên, chức vụ, SĐT, email</t>
  </si>
  <si>
    <t>TC-ST-02</t>
  </si>
  <si>
    <t>Tìm kiếm NV</t>
  </si>
  <si>
    <t>Màn hình QL NV</t>
  </si>
  <si>
    <t>Nhập tên hoặc mã NV → Tìm</t>
  </si>
  <si>
    <t>Tên: Lê Văn C</t>
  </si>
  <si>
    <t>Hiển thị NV khớp</t>
  </si>
  <si>
    <t>TC-ST-03</t>
  </si>
  <si>
    <t>Thêm NV mới</t>
  </si>
  <si>
    <t>1. Nhấn 'Thêm'
2. Nhập đầy đủ
3. Nhấn 'Thêm'</t>
  </si>
  <si>
    <t>HT: Lê Văn C
CCCD: 011122334455
CV: Lễ tân
Lương: 8.000.000</t>
  </si>
  <si>
    <t>Thêm thành công, NV mới trong DS</t>
  </si>
  <si>
    <t>TC-ST-04</t>
  </si>
  <si>
    <t>Sửa thông tin NV</t>
  </si>
  <si>
    <t>Có NV trong DS</t>
  </si>
  <si>
    <t>1. Nhấn sửa
2. Đổi email
3. Nhấn 'Lưu'</t>
  </si>
  <si>
    <t>Đổi email</t>
  </si>
  <si>
    <t>Thành công</t>
  </si>
  <si>
    <t>TC-ST-05</t>
  </si>
  <si>
    <t>Xóa NV</t>
  </si>
  <si>
    <t>NV không có tài khoản active</t>
  </si>
  <si>
    <t>TC-ST-06</t>
  </si>
  <si>
    <t>In và Xuất Excel NV</t>
  </si>
  <si>
    <t>Báo cáo/Excel DS NV</t>
  </si>
  <si>
    <t>TC-AC-01</t>
  </si>
  <si>
    <t>QL Tài khoản</t>
  </si>
  <si>
    <t>Xem danh sách tài khoản</t>
  </si>
  <si>
    <t>Đăng nhập Admin</t>
  </si>
  <si>
    <t>Nhấn 'Quản lý tài khoản'</t>
  </si>
  <si>
    <t>DS TK: mã, tên, loại, NV liên kết</t>
  </si>
  <si>
    <t>Chỉ Admin thấy menu này</t>
  </si>
  <si>
    <t>TC-AC-02</t>
  </si>
  <si>
    <t>Tìm kiếm tài khoản</t>
  </si>
  <si>
    <t>Màn hình QL TK</t>
  </si>
  <si>
    <t>Nhập tên TK → Tìm</t>
  </si>
  <si>
    <t>Từ khóa: nhanvien</t>
  </si>
  <si>
    <t>DS lọc theo tên TK</t>
  </si>
  <si>
    <t>TC-AC-03</t>
  </si>
  <si>
    <t>Thêm tài khoản mới</t>
  </si>
  <si>
    <t>Có NV chưa có TK</t>
  </si>
  <si>
    <t>1. Nhấn 'Thêm'
2. Nhập mã NV, tên TK, chọn quyền
3. Nhấn 'Thêm'</t>
  </si>
  <si>
    <t>NV: NV010
TK: nhanvien10
Quyền: Lễ tân</t>
  </si>
  <si>
    <t>Thêm thành công, MK tạm gửi về email NV</t>
  </si>
  <si>
    <t>TC-AC-04</t>
  </si>
  <si>
    <t>Sửa quyền tài khoản</t>
  </si>
  <si>
    <t>Có TK trong DS</t>
  </si>
  <si>
    <t>1. Nhấn sửa
2. Đổi quyền Lễ tân → Quản lý
3. Nhấn 'Lưu'</t>
  </si>
  <si>
    <t>TK: nhanvien11</t>
  </si>
  <si>
    <t>Thành công, quyền mới hiển thị</t>
  </si>
  <si>
    <t>TC-AC-05</t>
  </si>
  <si>
    <t>Xóa tài khoản</t>
  </si>
  <si>
    <t>TK không phải Admin chính</t>
  </si>
  <si>
    <t>1. Nhấn xóa
2. Xác nhận 'OK'</t>
  </si>
  <si>
    <t>TC-AC-06</t>
  </si>
  <si>
    <t>Không cho xóa Admin chính</t>
  </si>
  <si>
    <t>TK Admin chính</t>
  </si>
  <si>
    <t>Nhấn xóa TK admin1</t>
  </si>
  <si>
    <t>admin1</t>
  </si>
  <si>
    <t>Thông báo không thể xóa Admin chính</t>
  </si>
  <si>
    <t>Bảo mật hệ thống</t>
  </si>
  <si>
    <t>TC-AC-07</t>
  </si>
  <si>
    <t>Menu QL TK ẩn với tài khoản QL</t>
  </si>
  <si>
    <t>Đăng nhập quanly1</t>
  </si>
  <si>
    <t>Quan sát menu sau đăng nhập</t>
  </si>
  <si>
    <t>TK quanly1</t>
  </si>
  <si>
    <t>Menu 'Quản lý tài khoản' không hiển thị</t>
  </si>
  <si>
    <t>TC-AC-08</t>
  </si>
  <si>
    <t>In và Xuất Excel tài khoản</t>
  </si>
  <si>
    <t>Báo cáo/Excel DS tài khoản</t>
  </si>
  <si>
    <t>TC-STAT-01</t>
  </si>
  <si>
    <t>Thống kê</t>
  </si>
  <si>
    <t>Doanh thu phòng theo tháng</t>
  </si>
  <si>
    <t>1. Nhấn 'Thống kê'
2. Chọn tháng
3. Xem doanh thu phòng</t>
  </si>
  <si>
    <t>Tháng: 03/2026</t>
  </si>
  <si>
    <t>Bảng: mã chi tiết, phòng, loại phòng, ngày nhận/trả, đơn giá, thành tiền; tổng doanh thu, tổng lượt thuê</t>
  </si>
  <si>
    <t>TC-STAT-02</t>
  </si>
  <si>
    <t>Doanh thu dịch vụ</t>
  </si>
  <si>
    <t>Màn hình thống kê</t>
  </si>
  <si>
    <t>1. Chọn khoảng thời gian
2. Xem doanh thu DV</t>
  </si>
  <si>
    <t>Bảng: tên DV, SL, đơn giá, thành tiền; tổng DT dịch vụ</t>
  </si>
  <si>
    <t>TC-STAT-03</t>
  </si>
  <si>
    <t>Khoảng thời gian tùy chỉnh</t>
  </si>
  <si>
    <t>1. Chọn 'Tùy chỉnh'
2. Nhập ngày bắt đầu - kết thúc</t>
  </si>
  <si>
    <t>01/01/2026 - 31/03/2026</t>
  </si>
  <si>
    <t>Báo cáo đúng dữ liệu trong khoảng đã chọn</t>
  </si>
  <si>
    <t>TC-STAT-04</t>
  </si>
  <si>
    <t>In báo cáo doanh thu</t>
  </si>
  <si>
    <t>Đang xem báo cáo</t>
  </si>
  <si>
    <t>Nhấn 'In báo cáo'</t>
  </si>
  <si>
    <t>Giao diện xem trước in, in được</t>
  </si>
  <si>
    <t>TC-BK-01</t>
  </si>
  <si>
    <t>Sao lưu</t>
  </si>
  <si>
    <t>Sao lưu dữ liệu thành công</t>
  </si>
  <si>
    <t>1. Nhấn 'Sao lưu phục hồi'
2. Nhấn Sao lưu
3. Chọn thư mục
4. Xác nhận</t>
  </si>
  <si>
    <t>Thư mục: Desktop</t>
  </si>
  <si>
    <t>Thông báo thành công, file .bak tạo với tên gồm ngày giờ</t>
  </si>
  <si>
    <t>TC-BK-02</t>
  </si>
  <si>
    <t>Phục hồi</t>
  </si>
  <si>
    <t>Phục hồi dữ liệu thành công</t>
  </si>
  <si>
    <t>Có file .bak hợp lệ</t>
  </si>
  <si>
    <t>1. Nhấn Phục hồi
2. Chọn file .bak
3. Xác nhận</t>
  </si>
  <si>
    <t>File: backup.bak</t>
  </si>
  <si>
    <t>Thông báo thành công, hệ thống về trạng thái lúc backup</t>
  </si>
  <si>
    <t>TC-BK-03</t>
  </si>
  <si>
    <t>Phục hồi file không hợp lệ</t>
  </si>
  <si>
    <t>Màn hình sao lưu</t>
  </si>
  <si>
    <t>1. Nhấn Phục hồi
2. Chọn file không phải .bak</t>
  </si>
  <si>
    <t>File: doc.docx</t>
  </si>
  <si>
    <t>Thông báo lỗi file không hợp lệ</t>
  </si>
  <si>
    <t>TC-FT-01</t>
  </si>
  <si>
    <t>Tính năng hỗ trợ</t>
  </si>
  <si>
    <t>Mở FAQ</t>
  </si>
  <si>
    <t>Đăng nhập bất kỳ</t>
  </si>
  <si>
    <t>Nhấn nút FAQ góc phải</t>
  </si>
  <si>
    <t>Giao diện FAQ mở, DS chủ đề hiển thị</t>
  </si>
  <si>
    <t>TC-FT-02</t>
  </si>
  <si>
    <t>Xem câu trả lời FAQ</t>
  </si>
  <si>
    <t>FAQ đang mở</t>
  </si>
  <si>
    <t>Chọn chủ đề → Nhấn câu hỏi</t>
  </si>
  <si>
    <t>Câu trả lời chi tiết mở rộng</t>
  </si>
  <si>
    <t>TC-FT-03</t>
  </si>
  <si>
    <t>Trợ lý AI - Gửi yêu cầu</t>
  </si>
  <si>
    <t>1. Nhấn icon chatbot
2. Nhập nội dung
3. Gửi</t>
  </si>
  <si>
    <t>Yêu cầu: Viết bài FB quảng cáo 30/4</t>
  </si>
  <si>
    <t>AI phân tích và trả lời trong cửa sổ chat</t>
  </si>
  <si>
    <t>TC-FT-04</t>
  </si>
  <si>
    <t>Giọng nói - Mở chức năng</t>
  </si>
  <si>
    <t>1. Nhấn icon microphone
2. Nói 'Room'</t>
  </si>
  <si>
    <t>Lệnh: Room</t>
  </si>
  <si>
    <t>Hệ thống nhận lệnh, mở 'Quản lý phòng'</t>
  </si>
  <si>
    <t>TC-FT-05</t>
  </si>
  <si>
    <t>Giọng nói - Tắt</t>
  </si>
  <si>
    <t>Mic đang bật</t>
  </si>
  <si>
    <t>Nhấn lại icon hoặc nói 'Stop voice'</t>
  </si>
  <si>
    <t>Lệnh: Stop voice</t>
  </si>
  <si>
    <t>Mic tắt, icon trở màu ban đầu</t>
  </si>
  <si>
    <t>TC-FT-06</t>
  </si>
  <si>
    <t>Đặt phòng online - Nhận yêu cầu</t>
  </si>
  <si>
    <t>KH đặt qua website</t>
  </si>
  <si>
    <t>Vào màn hình QL đặt phòng online</t>
  </si>
  <si>
    <t>Yêu cầu hiển thị trạng thái 'Chưa liên hệ'</t>
  </si>
  <si>
    <t>TC-FT-07</t>
  </si>
  <si>
    <t>Cập nhật trạng thái 'Đã liên hệ'</t>
  </si>
  <si>
    <t>Yêu cầu 'Chưa liên hệ'</t>
  </si>
  <si>
    <t>Nhấn 'Đánh dấu đã liên hệ'</t>
  </si>
  <si>
    <t>Trạng thái cập nhật 'Đã liên hệ'</t>
  </si>
  <si>
    <t>TC-FT-08</t>
  </si>
  <si>
    <t>Cập nhật 'Đã lập phiếu thuê'</t>
  </si>
  <si>
    <t>Đã liên hệ KH</t>
  </si>
  <si>
    <t>Nhấn 'Đã lập phiếu thuê'</t>
  </si>
  <si>
    <t>Trạng thái: 'Đã lập phiếu thuê'</t>
  </si>
  <si>
    <t>TC-FT-09</t>
  </si>
  <si>
    <t>Cập nhật 'Đã hủy'</t>
  </si>
  <si>
    <t>KH không còn nhu cầu</t>
  </si>
  <si>
    <t>Nhấn 'Đã hủy'</t>
  </si>
  <si>
    <t>Trạng thái: 'Đã hủy'</t>
  </si>
  <si>
    <t>TC-LO-01</t>
  </si>
  <si>
    <t>Đăng xuất</t>
  </si>
  <si>
    <t>Đăng xuất thành công</t>
  </si>
  <si>
    <t>Đang đăng nhập</t>
  </si>
  <si>
    <t>Nhấn nút 'Đăng xuất' góc trái</t>
  </si>
  <si>
    <t>Chuyển về trang đăng nhập, yêu cầu đăng nhập lại</t>
  </si>
  <si>
    <t>TC-WEB-01</t>
  </si>
  <si>
    <t>Website</t>
  </si>
  <si>
    <t>Trang chủ website hiển thị</t>
  </si>
  <si>
    <t>Trình duyệt web</t>
  </si>
  <si>
    <t>Mở URL website</t>
  </si>
  <si>
    <t>URL website</t>
  </si>
  <si>
    <t>Trang chủ: tên KS, thông điệp, hình ảnh, nút đặt phòng</t>
  </si>
  <si>
    <t>TC-WEB-02</t>
  </si>
  <si>
    <t>Xem trang giới thiệu</t>
  </si>
  <si>
    <t>Website đang mở</t>
  </si>
  <si>
    <t>Nhấn menu 'Giới thiệu'</t>
  </si>
  <si>
    <t>Thông tin tổng quát Romance Hotel</t>
  </si>
  <si>
    <t>TC-WEB-03</t>
  </si>
  <si>
    <t>Xem trang hình ảnh</t>
  </si>
  <si>
    <t>Nhấn menu 'Hình ảnh'</t>
  </si>
  <si>
    <t>Gallery ảnh phòng VIP, phòng thường, nội thất</t>
  </si>
  <si>
    <t>TC-WEB-04</t>
  </si>
  <si>
    <t>Xem bảng giá phòng</t>
  </si>
  <si>
    <t>Nhấn menu 'Giá phòng'</t>
  </si>
  <si>
    <t>Giá theo giờ và ngày/đêm cho từng loại</t>
  </si>
  <si>
    <t>TC-WEB-05</t>
  </si>
  <si>
    <t>Đặt phòng online thành công</t>
  </si>
  <si>
    <t>Trang đặt phòng</t>
  </si>
  <si>
    <t>1. Nhập đầy đủ thông tin
2. Gửi yêu cầu</t>
  </si>
  <si>
    <t>HT: Phạm D
SĐT: 0944556677
Nhận: 25/04 Trả: 27/04</t>
  </si>
  <si>
    <t>Yêu cầu thành công, hệ thống nhận 'Chưa liên hệ'</t>
  </si>
  <si>
    <t>TC-WEB-06</t>
  </si>
  <si>
    <t>Gửi tin nhắn qua form Liên hệ</t>
  </si>
  <si>
    <t>Trang Liên hệ</t>
  </si>
  <si>
    <t>1. Nhập thông tin liên hệ
2. Gửi</t>
  </si>
  <si>
    <t>Nội dung liên hệ</t>
  </si>
  <si>
    <t>Form gửi thành công</t>
  </si>
  <si>
    <t>TỔNG KẾT TEST CASE – HỆ THỐNG QUẢN LÝ KHÁCH SẠN ROMANCE HOTEL</t>
  </si>
  <si>
    <t>Tổng TC</t>
  </si>
  <si>
    <t>Fail</t>
  </si>
  <si>
    <t>Pass Rate (%)</t>
  </si>
  <si>
    <t>Thanh toán (Check-out)</t>
  </si>
  <si>
    <t>Quản lý phòng</t>
  </si>
  <si>
    <t>Quản lý loại phòng</t>
  </si>
  <si>
    <t>Quản lý đặt phòng</t>
  </si>
  <si>
    <t>Quản lý hóa đơn</t>
  </si>
  <si>
    <t>Quản lý dịch vụ</t>
  </si>
  <si>
    <t>Quản lý tiện nghi</t>
  </si>
  <si>
    <t>Quản lý khách hàng</t>
  </si>
  <si>
    <t>Quản lý nhân viên</t>
  </si>
  <si>
    <t>Quản lý tài khoản</t>
  </si>
  <si>
    <t>Thống kê &amp; Báo cáo</t>
  </si>
  <si>
    <t>Sao lưu &amp; Phục hồi</t>
  </si>
  <si>
    <t>∑</t>
  </si>
  <si>
    <t>TỔNG CỘNG</t>
  </si>
  <si>
    <t>CHÚ THÍCH TRẠNG THÁI</t>
  </si>
  <si>
    <t>Test case đã thực thi và đạt kết quả mong đợi</t>
  </si>
  <si>
    <t>Test case thất bại, phát hiện lỗi cần sửa</t>
  </si>
  <si>
    <t>Chưa thực thi, cần test thêm hoặc chờ điều kiện</t>
  </si>
  <si>
    <t>N/A</t>
  </si>
  <si>
    <t>Không áp dụng cho môi trường test hiện tại</t>
  </si>
  <si>
    <t>MODULE: ĐĂNG NHẬP</t>
  </si>
  <si>
    <t>MODULE: QUÊN MẬT KHẨU</t>
  </si>
  <si>
    <t>MODULE: SƠ ĐỒ PHÒNG</t>
  </si>
  <si>
    <t>MODULE: ĐẶT PHÒNG</t>
  </si>
  <si>
    <t>MODULE: CHECK-IN</t>
  </si>
  <si>
    <t>MODULE: THÊM DỊCH VỤ</t>
  </si>
  <si>
    <t>MODULE: THANH TOÁN</t>
  </si>
  <si>
    <t>MODULE: QL PHÒNG</t>
  </si>
  <si>
    <t>MODULE: QL LOẠI PHÒNG</t>
  </si>
  <si>
    <t>MODULE: QL ĐẶT PHÒNG</t>
  </si>
  <si>
    <t>MODULE: QL HÓA ĐƠN</t>
  </si>
  <si>
    <t>MODULE: QL DỊCH VỤ</t>
  </si>
  <si>
    <t>MODULE: QL TIỆN NGHI</t>
  </si>
  <si>
    <t>MODULE: QL KHÁCH HÀNG</t>
  </si>
  <si>
    <t>MODULE: QL NHÂN VIÊN</t>
  </si>
  <si>
    <t>MODULE: QL TÀI KHOẢN</t>
  </si>
  <si>
    <t>MODULE: THỐNG KÊ</t>
  </si>
  <si>
    <t>MODULE: SAO LƯU</t>
  </si>
  <si>
    <t>MODULE: PHỤC HỒI</t>
  </si>
  <si>
    <t>MODULE: TÍNH NĂNG HỖ TRỢ</t>
  </si>
  <si>
    <t>MODULE: ĐĂNG XUẤT</t>
  </si>
  <si>
    <t>MODULE: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</si>
</sst>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1F4E79"/>
      <name val="Arial"/>
      <family val="2"/>
      <charset val="1"/>
    </font>
    <font>
      <b/>
      <sz val="10"/>
      <color rgb="FF2E75B6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375623"/>
      <name val="Arial"/>
      <family val="2"/>
      <charset val="1"/>
    </font>
    <font>
      <b/>
      <sz val="10"/>
      <color rgb="FF7F6000"/>
      <name val="Arial"/>
      <family val="2"/>
      <charset val="1"/>
    </font>
    <font>
      <b/>
      <sz val="14"/>
      <color rgb="FFFFFFFF"/>
      <name val="Arial"/>
      <family val="2"/>
      <charset val="1"/>
    </font>
    <font>
      <i/>
      <sz val="10"/>
      <color rgb="FF595959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AAAAAA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E2EFDA"/>
      <name val="Arial"/>
      <family val="2"/>
      <charset val="1"/>
    </font>
    <font>
      <b/>
      <sz val="11"/>
      <color rgb="FFFCE4D6"/>
      <name val="Arial"/>
      <family val="2"/>
      <charset val="1"/>
    </font>
    <font>
      <b/>
      <sz val="11"/>
      <color rgb="FFFFF2CC"/>
      <name val="Arial"/>
      <family val="2"/>
      <charset val="1"/>
    </font>
    <font>
      <b/>
      <sz val="11"/>
      <color rgb="FF90EE90"/>
      <name val="Arial"/>
      <family val="2"/>
      <charset val="1"/>
    </font>
    <font>
      <b/>
      <sz val="11"/>
      <color rgb="FF1F4E79"/>
      <name val="Arial"/>
      <family val="2"/>
      <charset val="1"/>
    </font>
    <font>
      <b/>
      <sz val="10"/>
      <color rgb="FF9C0006"/>
      <name val="Arial"/>
      <family val="2"/>
      <charset val="1"/>
    </font>
    <font>
      <b/>
      <sz val="10"/>
      <color rgb="FF595959"/>
      <name val="Arial"/>
      <family val="2"/>
      <charset val="1"/>
    </font>
    <font>
      <b/>
      <sz val="12"/>
      <color rgb="FFFFFFFF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7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BF3FB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9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left" vertical="center" wrapText="1"/>
    </xf>
    <xf numFmtId="0" fontId="19" fillId="10" borderId="0" xfId="0" applyFont="1" applyFill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0EE90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"/>
  <sheetViews>
    <sheetView zoomScaleNormal="100" workbookViewId="0">
      <pane ySplit="1" topLeftCell="A2" activePane="bottomLeft" state="frozen"/>
      <selection activeCell="F1" sqref="F1"/>
      <selection pane="bottomLeft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5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51.75" customHeight="1" x14ac:dyDescent="0.25">
      <c r="A2" s="3">
        <v>1</v>
      </c>
      <c r="B2" s="4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17</v>
      </c>
      <c r="J2" s="5" t="s">
        <v>18</v>
      </c>
      <c r="K2" s="1"/>
    </row>
    <row r="3" spans="1:11" ht="51.75" customHeight="1" x14ac:dyDescent="0.25">
      <c r="A3" s="3">
        <v>2</v>
      </c>
      <c r="B3" s="6" t="s">
        <v>19</v>
      </c>
      <c r="C3" s="7" t="s">
        <v>12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24</v>
      </c>
      <c r="J3" s="5" t="s">
        <v>18</v>
      </c>
      <c r="K3" s="7"/>
    </row>
    <row r="4" spans="1:11" ht="51.75" customHeight="1" x14ac:dyDescent="0.25">
      <c r="A4" s="3">
        <v>3</v>
      </c>
      <c r="B4" s="4" t="s">
        <v>25</v>
      </c>
      <c r="C4" s="1" t="s">
        <v>12</v>
      </c>
      <c r="D4" s="1" t="s">
        <v>26</v>
      </c>
      <c r="E4" s="1" t="s">
        <v>21</v>
      </c>
      <c r="F4" s="1" t="s">
        <v>27</v>
      </c>
      <c r="G4" s="1" t="s">
        <v>28</v>
      </c>
      <c r="H4" s="1" t="s">
        <v>29</v>
      </c>
      <c r="I4" s="1" t="s">
        <v>29</v>
      </c>
      <c r="J4" s="5" t="s">
        <v>18</v>
      </c>
      <c r="K4" s="1"/>
    </row>
    <row r="5" spans="1:11" ht="51.75" customHeight="1" x14ac:dyDescent="0.25">
      <c r="A5" s="3">
        <v>4</v>
      </c>
      <c r="B5" s="6" t="s">
        <v>30</v>
      </c>
      <c r="C5" s="7" t="s">
        <v>12</v>
      </c>
      <c r="D5" s="7" t="s">
        <v>31</v>
      </c>
      <c r="E5" s="7" t="s">
        <v>32</v>
      </c>
      <c r="F5" s="7" t="s">
        <v>33</v>
      </c>
      <c r="G5" s="7" t="s">
        <v>34</v>
      </c>
      <c r="H5" s="7" t="s">
        <v>35</v>
      </c>
      <c r="I5" s="7" t="s">
        <v>35</v>
      </c>
      <c r="J5" s="5" t="s">
        <v>18</v>
      </c>
      <c r="K5" s="7" t="s">
        <v>36</v>
      </c>
    </row>
    <row r="6" spans="1:11" ht="51.75" customHeight="1" x14ac:dyDescent="0.25">
      <c r="A6" s="3">
        <v>5</v>
      </c>
      <c r="B6" s="4" t="s">
        <v>37</v>
      </c>
      <c r="C6" s="1" t="s">
        <v>12</v>
      </c>
      <c r="D6" s="1" t="s">
        <v>38</v>
      </c>
      <c r="E6" s="1" t="s">
        <v>32</v>
      </c>
      <c r="F6" s="1" t="s">
        <v>39</v>
      </c>
      <c r="G6" s="1" t="s">
        <v>40</v>
      </c>
      <c r="H6" s="1" t="s">
        <v>41</v>
      </c>
      <c r="I6" s="1" t="s">
        <v>41</v>
      </c>
      <c r="J6" s="5" t="s">
        <v>18</v>
      </c>
      <c r="K6" s="1" t="s">
        <v>36</v>
      </c>
    </row>
    <row r="7" spans="1:11" ht="51.75" customHeight="1" x14ac:dyDescent="0.25">
      <c r="A7" s="3">
        <v>6</v>
      </c>
      <c r="B7" s="6" t="s">
        <v>42</v>
      </c>
      <c r="C7" s="7" t="s">
        <v>12</v>
      </c>
      <c r="D7" s="7" t="s">
        <v>43</v>
      </c>
      <c r="E7" s="7" t="s">
        <v>32</v>
      </c>
      <c r="F7" s="7" t="s">
        <v>44</v>
      </c>
      <c r="G7" s="7" t="s">
        <v>45</v>
      </c>
      <c r="H7" s="7" t="s">
        <v>46</v>
      </c>
      <c r="I7" s="7"/>
      <c r="J7" s="8" t="s">
        <v>47</v>
      </c>
      <c r="K7" s="7" t="s">
        <v>48</v>
      </c>
    </row>
    <row r="8" spans="1:11" ht="51.75" customHeight="1" x14ac:dyDescent="0.25">
      <c r="A8" s="3">
        <v>7</v>
      </c>
      <c r="B8" s="4" t="s">
        <v>49</v>
      </c>
      <c r="C8" s="1" t="s">
        <v>12</v>
      </c>
      <c r="D8" s="1" t="s">
        <v>50</v>
      </c>
      <c r="E8" s="1" t="s">
        <v>32</v>
      </c>
      <c r="F8" s="1" t="s">
        <v>51</v>
      </c>
      <c r="G8" s="1" t="s">
        <v>52</v>
      </c>
      <c r="H8" s="1" t="s">
        <v>53</v>
      </c>
      <c r="I8" s="1"/>
      <c r="J8" s="8" t="s">
        <v>47</v>
      </c>
      <c r="K8" s="1" t="s">
        <v>48</v>
      </c>
    </row>
    <row r="9" spans="1:11" ht="51.75" customHeight="1" x14ac:dyDescent="0.25">
      <c r="A9" s="3">
        <v>8</v>
      </c>
      <c r="B9" s="6" t="s">
        <v>54</v>
      </c>
      <c r="C9" s="7" t="s">
        <v>12</v>
      </c>
      <c r="D9" s="7" t="s">
        <v>55</v>
      </c>
      <c r="E9" s="7" t="s">
        <v>32</v>
      </c>
      <c r="F9" s="7" t="s">
        <v>56</v>
      </c>
      <c r="G9" s="7" t="s">
        <v>57</v>
      </c>
      <c r="H9" s="7" t="s">
        <v>58</v>
      </c>
      <c r="I9" s="7" t="s">
        <v>58</v>
      </c>
      <c r="J9" s="5" t="s">
        <v>18</v>
      </c>
      <c r="K9" s="7"/>
    </row>
    <row r="10" spans="1:11" ht="51.75" customHeight="1" x14ac:dyDescent="0.25">
      <c r="A10" s="3">
        <v>9</v>
      </c>
      <c r="B10" s="4" t="s">
        <v>59</v>
      </c>
      <c r="C10" s="1" t="s">
        <v>60</v>
      </c>
      <c r="D10" s="1" t="s">
        <v>61</v>
      </c>
      <c r="E10" s="1" t="s">
        <v>62</v>
      </c>
      <c r="F10" s="1" t="s">
        <v>63</v>
      </c>
      <c r="G10" s="1" t="s">
        <v>64</v>
      </c>
      <c r="H10" s="1" t="s">
        <v>65</v>
      </c>
      <c r="I10" s="1" t="s">
        <v>65</v>
      </c>
      <c r="J10" s="5" t="s">
        <v>18</v>
      </c>
      <c r="K10" s="1"/>
    </row>
    <row r="11" spans="1:11" ht="51.75" customHeight="1" x14ac:dyDescent="0.25">
      <c r="A11" s="3">
        <v>10</v>
      </c>
      <c r="B11" s="6" t="s">
        <v>66</v>
      </c>
      <c r="C11" s="7" t="s">
        <v>60</v>
      </c>
      <c r="D11" s="7" t="s">
        <v>67</v>
      </c>
      <c r="E11" s="7" t="s">
        <v>68</v>
      </c>
      <c r="F11" s="7" t="s">
        <v>69</v>
      </c>
      <c r="G11" s="7" t="s">
        <v>70</v>
      </c>
      <c r="H11" s="7" t="s">
        <v>71</v>
      </c>
      <c r="I11" s="7" t="s">
        <v>71</v>
      </c>
      <c r="J11" s="5" t="s">
        <v>18</v>
      </c>
      <c r="K11" s="7"/>
    </row>
    <row r="12" spans="1:11" ht="51.75" customHeight="1" x14ac:dyDescent="0.25">
      <c r="A12" s="3">
        <v>11</v>
      </c>
      <c r="B12" s="4" t="s">
        <v>72</v>
      </c>
      <c r="C12" s="1" t="s">
        <v>60</v>
      </c>
      <c r="D12" s="1" t="s">
        <v>73</v>
      </c>
      <c r="E12" s="1" t="s">
        <v>74</v>
      </c>
      <c r="F12" s="1" t="s">
        <v>75</v>
      </c>
      <c r="G12" s="1" t="s">
        <v>76</v>
      </c>
      <c r="H12" s="1" t="s">
        <v>77</v>
      </c>
      <c r="I12" s="1"/>
      <c r="J12" s="8" t="s">
        <v>47</v>
      </c>
      <c r="K12" s="1" t="s">
        <v>36</v>
      </c>
    </row>
    <row r="13" spans="1:11" ht="51.75" customHeight="1" x14ac:dyDescent="0.25">
      <c r="A13" s="3">
        <v>12</v>
      </c>
      <c r="B13" s="6" t="s">
        <v>78</v>
      </c>
      <c r="C13" s="7" t="s">
        <v>60</v>
      </c>
      <c r="D13" s="7" t="s">
        <v>79</v>
      </c>
      <c r="E13" s="7" t="s">
        <v>80</v>
      </c>
      <c r="F13" s="7" t="s">
        <v>81</v>
      </c>
      <c r="G13" s="7" t="s">
        <v>82</v>
      </c>
      <c r="H13" s="7" t="s">
        <v>83</v>
      </c>
      <c r="I13" s="7"/>
      <c r="J13" s="8" t="s">
        <v>47</v>
      </c>
      <c r="K13" s="7" t="s">
        <v>36</v>
      </c>
    </row>
    <row r="14" spans="1:11" ht="51.75" customHeight="1" x14ac:dyDescent="0.25">
      <c r="A14" s="3">
        <v>13</v>
      </c>
      <c r="B14" s="4" t="s">
        <v>84</v>
      </c>
      <c r="C14" s="1" t="s">
        <v>85</v>
      </c>
      <c r="D14" s="1" t="s">
        <v>86</v>
      </c>
      <c r="E14" s="1" t="s">
        <v>87</v>
      </c>
      <c r="F14" s="1" t="s">
        <v>88</v>
      </c>
      <c r="G14" s="1" t="s">
        <v>89</v>
      </c>
      <c r="H14" s="1" t="s">
        <v>90</v>
      </c>
      <c r="I14" s="1" t="s">
        <v>90</v>
      </c>
      <c r="J14" s="5" t="s">
        <v>18</v>
      </c>
      <c r="K14" s="1"/>
    </row>
    <row r="15" spans="1:11" ht="51.75" customHeight="1" x14ac:dyDescent="0.25">
      <c r="A15" s="3">
        <v>14</v>
      </c>
      <c r="B15" s="6" t="s">
        <v>91</v>
      </c>
      <c r="C15" s="7" t="s">
        <v>85</v>
      </c>
      <c r="D15" s="7" t="s">
        <v>92</v>
      </c>
      <c r="E15" s="7" t="s">
        <v>93</v>
      </c>
      <c r="F15" s="7" t="s">
        <v>94</v>
      </c>
      <c r="G15" s="7" t="s">
        <v>95</v>
      </c>
      <c r="H15" s="7" t="s">
        <v>96</v>
      </c>
      <c r="I15" s="7" t="s">
        <v>96</v>
      </c>
      <c r="J15" s="5" t="s">
        <v>18</v>
      </c>
      <c r="K15" s="7"/>
    </row>
    <row r="16" spans="1:11" ht="51.75" customHeight="1" x14ac:dyDescent="0.25">
      <c r="A16" s="3">
        <v>15</v>
      </c>
      <c r="B16" s="4" t="s">
        <v>97</v>
      </c>
      <c r="C16" s="1" t="s">
        <v>85</v>
      </c>
      <c r="D16" s="1" t="s">
        <v>98</v>
      </c>
      <c r="E16" s="1" t="s">
        <v>93</v>
      </c>
      <c r="F16" s="1" t="s">
        <v>99</v>
      </c>
      <c r="G16" s="1" t="s">
        <v>100</v>
      </c>
      <c r="H16" s="1" t="s">
        <v>101</v>
      </c>
      <c r="I16" s="1" t="s">
        <v>101</v>
      </c>
      <c r="J16" s="5" t="s">
        <v>18</v>
      </c>
      <c r="K16" s="1"/>
    </row>
    <row r="17" spans="1:11" ht="51.75" customHeight="1" x14ac:dyDescent="0.25">
      <c r="A17" s="3">
        <v>16</v>
      </c>
      <c r="B17" s="6" t="s">
        <v>102</v>
      </c>
      <c r="C17" s="7" t="s">
        <v>85</v>
      </c>
      <c r="D17" s="7" t="s">
        <v>103</v>
      </c>
      <c r="E17" s="7" t="s">
        <v>93</v>
      </c>
      <c r="F17" s="7" t="s">
        <v>104</v>
      </c>
      <c r="G17" s="7" t="s">
        <v>105</v>
      </c>
      <c r="H17" s="7" t="s">
        <v>106</v>
      </c>
      <c r="I17" s="7" t="s">
        <v>106</v>
      </c>
      <c r="J17" s="5" t="s">
        <v>18</v>
      </c>
      <c r="K17" s="7"/>
    </row>
    <row r="18" spans="1:11" ht="51.75" customHeight="1" x14ac:dyDescent="0.25">
      <c r="A18" s="3">
        <v>17</v>
      </c>
      <c r="B18" s="4" t="s">
        <v>107</v>
      </c>
      <c r="C18" s="1" t="s">
        <v>85</v>
      </c>
      <c r="D18" s="1" t="s">
        <v>108</v>
      </c>
      <c r="E18" s="1" t="s">
        <v>93</v>
      </c>
      <c r="F18" s="1" t="s">
        <v>109</v>
      </c>
      <c r="G18" s="1" t="s">
        <v>110</v>
      </c>
      <c r="H18" s="1" t="s">
        <v>111</v>
      </c>
      <c r="I18" s="1" t="s">
        <v>111</v>
      </c>
      <c r="J18" s="5" t="s">
        <v>18</v>
      </c>
      <c r="K18" s="1"/>
    </row>
    <row r="19" spans="1:11" ht="51.75" customHeight="1" x14ac:dyDescent="0.25">
      <c r="A19" s="3">
        <v>18</v>
      </c>
      <c r="B19" s="6" t="s">
        <v>112</v>
      </c>
      <c r="C19" s="7" t="s">
        <v>85</v>
      </c>
      <c r="D19" s="7" t="s">
        <v>113</v>
      </c>
      <c r="E19" s="7" t="s">
        <v>114</v>
      </c>
      <c r="F19" s="7" t="s">
        <v>115</v>
      </c>
      <c r="G19" s="7" t="s">
        <v>89</v>
      </c>
      <c r="H19" s="7" t="s">
        <v>116</v>
      </c>
      <c r="I19" s="7" t="s">
        <v>116</v>
      </c>
      <c r="J19" s="5" t="s">
        <v>18</v>
      </c>
      <c r="K19" s="7"/>
    </row>
    <row r="20" spans="1:11" ht="51.75" customHeight="1" x14ac:dyDescent="0.25">
      <c r="A20" s="3">
        <v>19</v>
      </c>
      <c r="B20" s="4" t="s">
        <v>117</v>
      </c>
      <c r="C20" s="1" t="s">
        <v>118</v>
      </c>
      <c r="D20" s="1" t="s">
        <v>119</v>
      </c>
      <c r="E20" s="1" t="s">
        <v>120</v>
      </c>
      <c r="F20" s="1" t="s">
        <v>121</v>
      </c>
      <c r="G20" s="1" t="s">
        <v>122</v>
      </c>
      <c r="H20" s="1" t="s">
        <v>123</v>
      </c>
      <c r="I20" s="1" t="s">
        <v>123</v>
      </c>
      <c r="J20" s="5" t="s">
        <v>18</v>
      </c>
      <c r="K20" s="1"/>
    </row>
    <row r="21" spans="1:11" ht="51.75" customHeight="1" x14ac:dyDescent="0.25">
      <c r="A21" s="3">
        <v>20</v>
      </c>
      <c r="B21" s="6" t="s">
        <v>124</v>
      </c>
      <c r="C21" s="7" t="s">
        <v>118</v>
      </c>
      <c r="D21" s="7" t="s">
        <v>125</v>
      </c>
      <c r="E21" s="7" t="s">
        <v>126</v>
      </c>
      <c r="F21" s="7" t="s">
        <v>127</v>
      </c>
      <c r="G21" s="7" t="s">
        <v>128</v>
      </c>
      <c r="H21" s="7" t="s">
        <v>129</v>
      </c>
      <c r="I21" s="7" t="s">
        <v>129</v>
      </c>
      <c r="J21" s="5" t="s">
        <v>18</v>
      </c>
      <c r="K21" s="7" t="s">
        <v>36</v>
      </c>
    </row>
    <row r="22" spans="1:11" ht="51.75" customHeight="1" x14ac:dyDescent="0.25">
      <c r="A22" s="3">
        <v>21</v>
      </c>
      <c r="B22" s="4" t="s">
        <v>130</v>
      </c>
      <c r="C22" s="1" t="s">
        <v>118</v>
      </c>
      <c r="D22" s="1" t="s">
        <v>131</v>
      </c>
      <c r="E22" s="1" t="s">
        <v>126</v>
      </c>
      <c r="F22" s="1" t="s">
        <v>132</v>
      </c>
      <c r="G22" s="1" t="s">
        <v>133</v>
      </c>
      <c r="H22" s="1" t="s">
        <v>134</v>
      </c>
      <c r="I22" s="1"/>
      <c r="J22" s="8" t="s">
        <v>47</v>
      </c>
      <c r="K22" s="1" t="s">
        <v>36</v>
      </c>
    </row>
    <row r="23" spans="1:11" ht="51.75" customHeight="1" x14ac:dyDescent="0.25">
      <c r="A23" s="3">
        <v>22</v>
      </c>
      <c r="B23" s="6" t="s">
        <v>135</v>
      </c>
      <c r="C23" s="7" t="s">
        <v>118</v>
      </c>
      <c r="D23" s="7" t="s">
        <v>136</v>
      </c>
      <c r="E23" s="7" t="s">
        <v>126</v>
      </c>
      <c r="F23" s="7" t="s">
        <v>137</v>
      </c>
      <c r="G23" s="7" t="s">
        <v>138</v>
      </c>
      <c r="H23" s="7" t="s">
        <v>139</v>
      </c>
      <c r="I23" s="7"/>
      <c r="J23" s="8" t="s">
        <v>47</v>
      </c>
      <c r="K23" s="7" t="s">
        <v>36</v>
      </c>
    </row>
    <row r="24" spans="1:11" ht="51.75" customHeight="1" x14ac:dyDescent="0.25">
      <c r="A24" s="3">
        <v>23</v>
      </c>
      <c r="B24" s="4" t="s">
        <v>140</v>
      </c>
      <c r="C24" s="1" t="s">
        <v>118</v>
      </c>
      <c r="D24" s="1" t="s">
        <v>141</v>
      </c>
      <c r="E24" s="1" t="s">
        <v>142</v>
      </c>
      <c r="F24" s="1" t="s">
        <v>143</v>
      </c>
      <c r="G24" s="1" t="s">
        <v>144</v>
      </c>
      <c r="H24" s="1" t="s">
        <v>145</v>
      </c>
      <c r="I24" s="1" t="s">
        <v>145</v>
      </c>
      <c r="J24" s="5" t="s">
        <v>18</v>
      </c>
      <c r="K24" s="1" t="s">
        <v>146</v>
      </c>
    </row>
    <row r="25" spans="1:11" ht="51.75" customHeight="1" x14ac:dyDescent="0.25">
      <c r="A25" s="3">
        <v>24</v>
      </c>
      <c r="B25" s="6" t="s">
        <v>147</v>
      </c>
      <c r="C25" s="7" t="s">
        <v>118</v>
      </c>
      <c r="D25" s="7" t="s">
        <v>148</v>
      </c>
      <c r="E25" s="7" t="s">
        <v>149</v>
      </c>
      <c r="F25" s="7" t="s">
        <v>150</v>
      </c>
      <c r="G25" s="7" t="s">
        <v>151</v>
      </c>
      <c r="H25" s="7" t="s">
        <v>152</v>
      </c>
      <c r="I25" s="7" t="s">
        <v>152</v>
      </c>
      <c r="J25" s="5" t="s">
        <v>18</v>
      </c>
      <c r="K25" s="7" t="s">
        <v>153</v>
      </c>
    </row>
    <row r="26" spans="1:11" ht="51.75" customHeight="1" x14ac:dyDescent="0.25">
      <c r="A26" s="3">
        <v>25</v>
      </c>
      <c r="B26" s="4" t="s">
        <v>154</v>
      </c>
      <c r="C26" s="1" t="s">
        <v>155</v>
      </c>
      <c r="D26" s="1" t="s">
        <v>156</v>
      </c>
      <c r="E26" s="1" t="s">
        <v>157</v>
      </c>
      <c r="F26" s="1" t="s">
        <v>158</v>
      </c>
      <c r="G26" s="1" t="s">
        <v>89</v>
      </c>
      <c r="H26" s="1" t="s">
        <v>159</v>
      </c>
      <c r="I26" s="1" t="s">
        <v>159</v>
      </c>
      <c r="J26" s="5" t="s">
        <v>18</v>
      </c>
      <c r="K26" s="1"/>
    </row>
    <row r="27" spans="1:11" ht="51.75" customHeight="1" x14ac:dyDescent="0.25">
      <c r="A27" s="3">
        <v>26</v>
      </c>
      <c r="B27" s="6" t="s">
        <v>160</v>
      </c>
      <c r="C27" s="7" t="s">
        <v>155</v>
      </c>
      <c r="D27" s="7" t="s">
        <v>161</v>
      </c>
      <c r="E27" s="7" t="s">
        <v>162</v>
      </c>
      <c r="F27" s="7" t="s">
        <v>163</v>
      </c>
      <c r="G27" s="7" t="s">
        <v>89</v>
      </c>
      <c r="H27" s="7" t="s">
        <v>164</v>
      </c>
      <c r="I27" s="7" t="s">
        <v>164</v>
      </c>
      <c r="J27" s="5" t="s">
        <v>18</v>
      </c>
      <c r="K27" s="7" t="s">
        <v>165</v>
      </c>
    </row>
    <row r="28" spans="1:11" ht="51.75" customHeight="1" x14ac:dyDescent="0.25">
      <c r="A28" s="3">
        <v>27</v>
      </c>
      <c r="B28" s="4" t="s">
        <v>166</v>
      </c>
      <c r="C28" s="1" t="s">
        <v>167</v>
      </c>
      <c r="D28" s="1" t="s">
        <v>168</v>
      </c>
      <c r="E28" s="1" t="s">
        <v>162</v>
      </c>
      <c r="F28" s="1" t="s">
        <v>169</v>
      </c>
      <c r="G28" s="1" t="s">
        <v>170</v>
      </c>
      <c r="H28" s="1" t="s">
        <v>171</v>
      </c>
      <c r="I28" s="1" t="s">
        <v>171</v>
      </c>
      <c r="J28" s="5" t="s">
        <v>18</v>
      </c>
      <c r="K28" s="1"/>
    </row>
    <row r="29" spans="1:11" ht="51.75" customHeight="1" x14ac:dyDescent="0.25">
      <c r="A29" s="3">
        <v>28</v>
      </c>
      <c r="B29" s="6" t="s">
        <v>172</v>
      </c>
      <c r="C29" s="7" t="s">
        <v>167</v>
      </c>
      <c r="D29" s="7" t="s">
        <v>173</v>
      </c>
      <c r="E29" s="7" t="s">
        <v>174</v>
      </c>
      <c r="F29" s="7" t="s">
        <v>175</v>
      </c>
      <c r="G29" s="7" t="s">
        <v>176</v>
      </c>
      <c r="H29" s="7" t="s">
        <v>177</v>
      </c>
      <c r="I29" s="7"/>
      <c r="J29" s="8" t="s">
        <v>47</v>
      </c>
      <c r="K29" s="7" t="s">
        <v>36</v>
      </c>
    </row>
    <row r="30" spans="1:11" ht="51.75" customHeight="1" x14ac:dyDescent="0.25">
      <c r="A30" s="3">
        <v>29</v>
      </c>
      <c r="B30" s="4" t="s">
        <v>178</v>
      </c>
      <c r="C30" s="1" t="s">
        <v>167</v>
      </c>
      <c r="D30" s="1" t="s">
        <v>179</v>
      </c>
      <c r="E30" s="1" t="s">
        <v>180</v>
      </c>
      <c r="F30" s="1" t="s">
        <v>181</v>
      </c>
      <c r="G30" s="1" t="s">
        <v>89</v>
      </c>
      <c r="H30" s="1" t="s">
        <v>182</v>
      </c>
      <c r="I30" s="1" t="s">
        <v>182</v>
      </c>
      <c r="J30" s="5" t="s">
        <v>18</v>
      </c>
      <c r="K30" s="1"/>
    </row>
    <row r="31" spans="1:11" ht="51.75" customHeight="1" x14ac:dyDescent="0.25">
      <c r="A31" s="3">
        <v>30</v>
      </c>
      <c r="B31" s="6" t="s">
        <v>183</v>
      </c>
      <c r="C31" s="7" t="s">
        <v>184</v>
      </c>
      <c r="D31" s="7" t="s">
        <v>185</v>
      </c>
      <c r="E31" s="7" t="s">
        <v>162</v>
      </c>
      <c r="F31" s="7" t="s">
        <v>186</v>
      </c>
      <c r="G31" s="7" t="s">
        <v>187</v>
      </c>
      <c r="H31" s="7" t="s">
        <v>188</v>
      </c>
      <c r="I31" s="7" t="s">
        <v>188</v>
      </c>
      <c r="J31" s="5" t="s">
        <v>18</v>
      </c>
      <c r="K31" s="7"/>
    </row>
    <row r="32" spans="1:11" ht="51.75" customHeight="1" x14ac:dyDescent="0.25">
      <c r="A32" s="3">
        <v>31</v>
      </c>
      <c r="B32" s="4" t="s">
        <v>189</v>
      </c>
      <c r="C32" s="1" t="s">
        <v>184</v>
      </c>
      <c r="D32" s="1" t="s">
        <v>190</v>
      </c>
      <c r="E32" s="1" t="s">
        <v>162</v>
      </c>
      <c r="F32" s="1" t="s">
        <v>191</v>
      </c>
      <c r="G32" s="1" t="s">
        <v>89</v>
      </c>
      <c r="H32" s="1" t="s">
        <v>192</v>
      </c>
      <c r="I32" s="1" t="s">
        <v>192</v>
      </c>
      <c r="J32" s="5" t="s">
        <v>18</v>
      </c>
      <c r="K32" s="1"/>
    </row>
    <row r="33" spans="1:11" ht="51.75" customHeight="1" x14ac:dyDescent="0.25">
      <c r="A33" s="3">
        <v>32</v>
      </c>
      <c r="B33" s="6" t="s">
        <v>193</v>
      </c>
      <c r="C33" s="7" t="s">
        <v>184</v>
      </c>
      <c r="D33" s="7" t="s">
        <v>194</v>
      </c>
      <c r="E33" s="7" t="s">
        <v>195</v>
      </c>
      <c r="F33" s="7" t="s">
        <v>196</v>
      </c>
      <c r="G33" s="7" t="s">
        <v>197</v>
      </c>
      <c r="H33" s="7" t="s">
        <v>198</v>
      </c>
      <c r="I33" s="7" t="s">
        <v>198</v>
      </c>
      <c r="J33" s="5" t="s">
        <v>18</v>
      </c>
      <c r="K33" s="7"/>
    </row>
    <row r="34" spans="1:11" ht="51.75" customHeight="1" x14ac:dyDescent="0.25">
      <c r="A34" s="3">
        <v>33</v>
      </c>
      <c r="B34" s="4" t="s">
        <v>199</v>
      </c>
      <c r="C34" s="1" t="s">
        <v>184</v>
      </c>
      <c r="D34" s="1" t="s">
        <v>200</v>
      </c>
      <c r="E34" s="1" t="s">
        <v>201</v>
      </c>
      <c r="F34" s="1" t="s">
        <v>202</v>
      </c>
      <c r="G34" s="1" t="s">
        <v>203</v>
      </c>
      <c r="H34" s="1" t="s">
        <v>204</v>
      </c>
      <c r="I34" s="1" t="s">
        <v>204</v>
      </c>
      <c r="J34" s="5" t="s">
        <v>18</v>
      </c>
      <c r="K34" s="1"/>
    </row>
    <row r="35" spans="1:11" ht="51.75" customHeight="1" x14ac:dyDescent="0.25">
      <c r="A35" s="3">
        <v>34</v>
      </c>
      <c r="B35" s="6" t="s">
        <v>205</v>
      </c>
      <c r="C35" s="7" t="s">
        <v>184</v>
      </c>
      <c r="D35" s="7" t="s">
        <v>206</v>
      </c>
      <c r="E35" s="7" t="s">
        <v>207</v>
      </c>
      <c r="F35" s="7" t="s">
        <v>208</v>
      </c>
      <c r="G35" s="7" t="s">
        <v>89</v>
      </c>
      <c r="H35" s="7" t="s">
        <v>209</v>
      </c>
      <c r="I35" s="7" t="s">
        <v>209</v>
      </c>
      <c r="J35" s="5" t="s">
        <v>18</v>
      </c>
      <c r="K35" s="7"/>
    </row>
    <row r="36" spans="1:11" ht="51.75" customHeight="1" x14ac:dyDescent="0.25">
      <c r="A36" s="3">
        <v>35</v>
      </c>
      <c r="B36" s="4" t="s">
        <v>210</v>
      </c>
      <c r="C36" s="1" t="s">
        <v>184</v>
      </c>
      <c r="D36" s="1" t="s">
        <v>211</v>
      </c>
      <c r="E36" s="1" t="s">
        <v>201</v>
      </c>
      <c r="F36" s="1" t="s">
        <v>212</v>
      </c>
      <c r="G36" s="1" t="s">
        <v>89</v>
      </c>
      <c r="H36" s="1" t="s">
        <v>213</v>
      </c>
      <c r="I36" s="1" t="s">
        <v>213</v>
      </c>
      <c r="J36" s="5" t="s">
        <v>18</v>
      </c>
      <c r="K36" s="1"/>
    </row>
    <row r="37" spans="1:11" ht="51.75" customHeight="1" x14ac:dyDescent="0.25">
      <c r="A37" s="3">
        <v>36</v>
      </c>
      <c r="B37" s="6" t="s">
        <v>214</v>
      </c>
      <c r="C37" s="7" t="s">
        <v>215</v>
      </c>
      <c r="D37" s="7" t="s">
        <v>216</v>
      </c>
      <c r="E37" s="7" t="s">
        <v>217</v>
      </c>
      <c r="F37" s="7" t="s">
        <v>218</v>
      </c>
      <c r="G37" s="7" t="s">
        <v>89</v>
      </c>
      <c r="H37" s="7" t="s">
        <v>219</v>
      </c>
      <c r="I37" s="7" t="s">
        <v>219</v>
      </c>
      <c r="J37" s="5" t="s">
        <v>18</v>
      </c>
      <c r="K37" s="7"/>
    </row>
    <row r="38" spans="1:11" ht="51.75" customHeight="1" x14ac:dyDescent="0.25">
      <c r="A38" s="3">
        <v>37</v>
      </c>
      <c r="B38" s="4" t="s">
        <v>220</v>
      </c>
      <c r="C38" s="1" t="s">
        <v>215</v>
      </c>
      <c r="D38" s="1" t="s">
        <v>221</v>
      </c>
      <c r="E38" s="1" t="s">
        <v>222</v>
      </c>
      <c r="F38" s="1" t="s">
        <v>223</v>
      </c>
      <c r="G38" s="1" t="s">
        <v>224</v>
      </c>
      <c r="H38" s="1" t="s">
        <v>225</v>
      </c>
      <c r="I38" s="1" t="s">
        <v>225</v>
      </c>
      <c r="J38" s="5" t="s">
        <v>18</v>
      </c>
      <c r="K38" s="1"/>
    </row>
    <row r="39" spans="1:11" ht="51.75" customHeight="1" x14ac:dyDescent="0.25">
      <c r="A39" s="3">
        <v>38</v>
      </c>
      <c r="B39" s="6" t="s">
        <v>226</v>
      </c>
      <c r="C39" s="7" t="s">
        <v>215</v>
      </c>
      <c r="D39" s="7" t="s">
        <v>227</v>
      </c>
      <c r="E39" s="7" t="s">
        <v>222</v>
      </c>
      <c r="F39" s="7" t="s">
        <v>228</v>
      </c>
      <c r="G39" s="7" t="s">
        <v>229</v>
      </c>
      <c r="H39" s="7" t="s">
        <v>230</v>
      </c>
      <c r="I39" s="7"/>
      <c r="J39" s="8" t="s">
        <v>47</v>
      </c>
      <c r="K39" s="7" t="s">
        <v>231</v>
      </c>
    </row>
    <row r="40" spans="1:11" ht="51.75" customHeight="1" x14ac:dyDescent="0.25">
      <c r="A40" s="3">
        <v>39</v>
      </c>
      <c r="B40" s="4" t="s">
        <v>232</v>
      </c>
      <c r="C40" s="1" t="s">
        <v>215</v>
      </c>
      <c r="D40" s="1" t="s">
        <v>233</v>
      </c>
      <c r="E40" s="1" t="s">
        <v>217</v>
      </c>
      <c r="F40" s="1" t="s">
        <v>234</v>
      </c>
      <c r="G40" s="1" t="s">
        <v>235</v>
      </c>
      <c r="H40" s="1" t="s">
        <v>236</v>
      </c>
      <c r="I40" s="1" t="s">
        <v>236</v>
      </c>
      <c r="J40" s="5" t="s">
        <v>18</v>
      </c>
      <c r="K40" s="1"/>
    </row>
    <row r="41" spans="1:11" ht="51.75" customHeight="1" x14ac:dyDescent="0.25">
      <c r="A41" s="3">
        <v>40</v>
      </c>
      <c r="B41" s="6" t="s">
        <v>237</v>
      </c>
      <c r="C41" s="7" t="s">
        <v>215</v>
      </c>
      <c r="D41" s="7" t="s">
        <v>238</v>
      </c>
      <c r="E41" s="7" t="s">
        <v>239</v>
      </c>
      <c r="F41" s="7" t="s">
        <v>240</v>
      </c>
      <c r="G41" s="7" t="s">
        <v>241</v>
      </c>
      <c r="H41" s="7" t="s">
        <v>242</v>
      </c>
      <c r="I41" s="7"/>
      <c r="J41" s="8" t="s">
        <v>47</v>
      </c>
      <c r="K41" s="7" t="s">
        <v>36</v>
      </c>
    </row>
    <row r="42" spans="1:11" ht="51.75" customHeight="1" x14ac:dyDescent="0.25">
      <c r="A42" s="3">
        <v>41</v>
      </c>
      <c r="B42" s="4" t="s">
        <v>243</v>
      </c>
      <c r="C42" s="1" t="s">
        <v>215</v>
      </c>
      <c r="D42" s="1" t="s">
        <v>244</v>
      </c>
      <c r="E42" s="1" t="s">
        <v>245</v>
      </c>
      <c r="F42" s="1" t="s">
        <v>246</v>
      </c>
      <c r="G42" s="1" t="s">
        <v>247</v>
      </c>
      <c r="H42" s="1" t="s">
        <v>248</v>
      </c>
      <c r="I42" s="1" t="s">
        <v>248</v>
      </c>
      <c r="J42" s="5" t="s">
        <v>18</v>
      </c>
      <c r="K42" s="1"/>
    </row>
    <row r="43" spans="1:11" ht="51.75" customHeight="1" x14ac:dyDescent="0.25">
      <c r="A43" s="3">
        <v>42</v>
      </c>
      <c r="B43" s="6" t="s">
        <v>249</v>
      </c>
      <c r="C43" s="7" t="s">
        <v>215</v>
      </c>
      <c r="D43" s="7" t="s">
        <v>250</v>
      </c>
      <c r="E43" s="7" t="s">
        <v>251</v>
      </c>
      <c r="F43" s="7" t="s">
        <v>252</v>
      </c>
      <c r="G43" s="7" t="s">
        <v>253</v>
      </c>
      <c r="H43" s="7" t="s">
        <v>254</v>
      </c>
      <c r="I43" s="7" t="s">
        <v>254</v>
      </c>
      <c r="J43" s="5" t="s">
        <v>18</v>
      </c>
      <c r="K43" s="7"/>
    </row>
    <row r="44" spans="1:11" ht="51.75" customHeight="1" x14ac:dyDescent="0.25">
      <c r="A44" s="3">
        <v>43</v>
      </c>
      <c r="B44" s="4" t="s">
        <v>255</v>
      </c>
      <c r="C44" s="1" t="s">
        <v>215</v>
      </c>
      <c r="D44" s="1" t="s">
        <v>256</v>
      </c>
      <c r="E44" s="1" t="s">
        <v>222</v>
      </c>
      <c r="F44" s="1" t="s">
        <v>257</v>
      </c>
      <c r="G44" s="1" t="s">
        <v>89</v>
      </c>
      <c r="H44" s="1" t="s">
        <v>258</v>
      </c>
      <c r="I44" s="1" t="s">
        <v>258</v>
      </c>
      <c r="J44" s="5" t="s">
        <v>18</v>
      </c>
      <c r="K44" s="1"/>
    </row>
    <row r="45" spans="1:11" ht="51.75" customHeight="1" x14ac:dyDescent="0.25">
      <c r="A45" s="3">
        <v>44</v>
      </c>
      <c r="B45" s="6" t="s">
        <v>259</v>
      </c>
      <c r="C45" s="7" t="s">
        <v>215</v>
      </c>
      <c r="D45" s="7" t="s">
        <v>260</v>
      </c>
      <c r="E45" s="7" t="s">
        <v>222</v>
      </c>
      <c r="F45" s="7" t="s">
        <v>261</v>
      </c>
      <c r="G45" s="7" t="s">
        <v>89</v>
      </c>
      <c r="H45" s="7" t="s">
        <v>262</v>
      </c>
      <c r="I45" s="7" t="s">
        <v>262</v>
      </c>
      <c r="J45" s="5" t="s">
        <v>18</v>
      </c>
      <c r="K45" s="7"/>
    </row>
    <row r="46" spans="1:11" ht="51.75" customHeight="1" x14ac:dyDescent="0.25">
      <c r="A46" s="3">
        <v>45</v>
      </c>
      <c r="B46" s="4" t="s">
        <v>263</v>
      </c>
      <c r="C46" s="1" t="s">
        <v>215</v>
      </c>
      <c r="D46" s="1" t="s">
        <v>264</v>
      </c>
      <c r="E46" s="1" t="s">
        <v>265</v>
      </c>
      <c r="F46" s="1" t="s">
        <v>266</v>
      </c>
      <c r="G46" s="1" t="s">
        <v>267</v>
      </c>
      <c r="H46" s="1" t="s">
        <v>268</v>
      </c>
      <c r="I46" s="1" t="s">
        <v>268</v>
      </c>
      <c r="J46" s="5" t="s">
        <v>18</v>
      </c>
      <c r="K46" s="1" t="s">
        <v>269</v>
      </c>
    </row>
    <row r="47" spans="1:11" ht="51.75" customHeight="1" x14ac:dyDescent="0.25">
      <c r="A47" s="3">
        <v>46</v>
      </c>
      <c r="B47" s="6" t="s">
        <v>270</v>
      </c>
      <c r="C47" s="7" t="s">
        <v>271</v>
      </c>
      <c r="D47" s="7" t="s">
        <v>272</v>
      </c>
      <c r="E47" s="7" t="s">
        <v>12</v>
      </c>
      <c r="F47" s="7" t="s">
        <v>273</v>
      </c>
      <c r="G47" s="7" t="s">
        <v>89</v>
      </c>
      <c r="H47" s="7" t="s">
        <v>274</v>
      </c>
      <c r="I47" s="7" t="s">
        <v>274</v>
      </c>
      <c r="J47" s="5" t="s">
        <v>18</v>
      </c>
      <c r="K47" s="7"/>
    </row>
    <row r="48" spans="1:11" ht="51.75" customHeight="1" x14ac:dyDescent="0.25">
      <c r="A48" s="3">
        <v>47</v>
      </c>
      <c r="B48" s="4" t="s">
        <v>275</v>
      </c>
      <c r="C48" s="1" t="s">
        <v>271</v>
      </c>
      <c r="D48" s="1" t="s">
        <v>276</v>
      </c>
      <c r="E48" s="1" t="s">
        <v>277</v>
      </c>
      <c r="F48" s="1" t="s">
        <v>278</v>
      </c>
      <c r="G48" s="1" t="s">
        <v>279</v>
      </c>
      <c r="H48" s="1" t="s">
        <v>280</v>
      </c>
      <c r="I48" s="1" t="s">
        <v>280</v>
      </c>
      <c r="J48" s="5" t="s">
        <v>18</v>
      </c>
      <c r="K48" s="1"/>
    </row>
    <row r="49" spans="1:11" ht="51.75" customHeight="1" x14ac:dyDescent="0.25">
      <c r="A49" s="3">
        <v>48</v>
      </c>
      <c r="B49" s="6" t="s">
        <v>281</v>
      </c>
      <c r="C49" s="7" t="s">
        <v>271</v>
      </c>
      <c r="D49" s="7" t="s">
        <v>282</v>
      </c>
      <c r="E49" s="7" t="s">
        <v>283</v>
      </c>
      <c r="F49" s="7" t="s">
        <v>284</v>
      </c>
      <c r="G49" s="7" t="s">
        <v>105</v>
      </c>
      <c r="H49" s="7" t="s">
        <v>285</v>
      </c>
      <c r="I49" s="7" t="s">
        <v>285</v>
      </c>
      <c r="J49" s="5" t="s">
        <v>18</v>
      </c>
      <c r="K49" s="7"/>
    </row>
    <row r="50" spans="1:11" ht="51.75" customHeight="1" x14ac:dyDescent="0.25">
      <c r="A50" s="3">
        <v>49</v>
      </c>
      <c r="B50" s="4" t="s">
        <v>286</v>
      </c>
      <c r="C50" s="1" t="s">
        <v>271</v>
      </c>
      <c r="D50" s="1" t="s">
        <v>287</v>
      </c>
      <c r="E50" s="1" t="s">
        <v>288</v>
      </c>
      <c r="F50" s="1" t="s">
        <v>289</v>
      </c>
      <c r="G50" s="1" t="s">
        <v>290</v>
      </c>
      <c r="H50" s="1" t="s">
        <v>291</v>
      </c>
      <c r="I50" s="1" t="s">
        <v>291</v>
      </c>
      <c r="J50" s="5" t="s">
        <v>18</v>
      </c>
      <c r="K50" s="1"/>
    </row>
    <row r="51" spans="1:11" ht="51.75" customHeight="1" x14ac:dyDescent="0.25">
      <c r="A51" s="3">
        <v>50</v>
      </c>
      <c r="B51" s="6" t="s">
        <v>292</v>
      </c>
      <c r="C51" s="7" t="s">
        <v>271</v>
      </c>
      <c r="D51" s="7" t="s">
        <v>293</v>
      </c>
      <c r="E51" s="7" t="s">
        <v>277</v>
      </c>
      <c r="F51" s="7" t="s">
        <v>294</v>
      </c>
      <c r="G51" s="7" t="s">
        <v>295</v>
      </c>
      <c r="H51" s="7" t="s">
        <v>296</v>
      </c>
      <c r="I51" s="7" t="s">
        <v>296</v>
      </c>
      <c r="J51" s="5" t="s">
        <v>18</v>
      </c>
      <c r="K51" s="7"/>
    </row>
    <row r="52" spans="1:11" ht="51.75" customHeight="1" x14ac:dyDescent="0.25">
      <c r="A52" s="3">
        <v>51</v>
      </c>
      <c r="B52" s="4" t="s">
        <v>297</v>
      </c>
      <c r="C52" s="1" t="s">
        <v>271</v>
      </c>
      <c r="D52" s="1" t="s">
        <v>298</v>
      </c>
      <c r="E52" s="1" t="s">
        <v>299</v>
      </c>
      <c r="F52" s="1" t="s">
        <v>300</v>
      </c>
      <c r="G52" s="1" t="s">
        <v>267</v>
      </c>
      <c r="H52" s="1" t="s">
        <v>301</v>
      </c>
      <c r="I52" s="1" t="s">
        <v>301</v>
      </c>
      <c r="J52" s="5" t="s">
        <v>18</v>
      </c>
      <c r="K52" s="1" t="s">
        <v>269</v>
      </c>
    </row>
    <row r="53" spans="1:11" ht="51.75" customHeight="1" x14ac:dyDescent="0.25">
      <c r="A53" s="3">
        <v>52</v>
      </c>
      <c r="B53" s="6" t="s">
        <v>302</v>
      </c>
      <c r="C53" s="7" t="s">
        <v>271</v>
      </c>
      <c r="D53" s="7" t="s">
        <v>303</v>
      </c>
      <c r="E53" s="7" t="s">
        <v>277</v>
      </c>
      <c r="F53" s="7" t="s">
        <v>261</v>
      </c>
      <c r="G53" s="7" t="s">
        <v>89</v>
      </c>
      <c r="H53" s="7" t="s">
        <v>304</v>
      </c>
      <c r="I53" s="7" t="s">
        <v>304</v>
      </c>
      <c r="J53" s="5" t="s">
        <v>18</v>
      </c>
      <c r="K53" s="7"/>
    </row>
    <row r="54" spans="1:11" ht="51.75" customHeight="1" x14ac:dyDescent="0.25">
      <c r="A54" s="3">
        <v>53</v>
      </c>
      <c r="B54" s="4" t="s">
        <v>305</v>
      </c>
      <c r="C54" s="1" t="s">
        <v>306</v>
      </c>
      <c r="D54" s="1" t="s">
        <v>307</v>
      </c>
      <c r="E54" s="1" t="s">
        <v>12</v>
      </c>
      <c r="F54" s="1" t="s">
        <v>308</v>
      </c>
      <c r="G54" s="1" t="s">
        <v>89</v>
      </c>
      <c r="H54" s="1" t="s">
        <v>309</v>
      </c>
      <c r="I54" s="1" t="s">
        <v>309</v>
      </c>
      <c r="J54" s="5" t="s">
        <v>18</v>
      </c>
      <c r="K54" s="1"/>
    </row>
    <row r="55" spans="1:11" ht="51.75" customHeight="1" x14ac:dyDescent="0.25">
      <c r="A55" s="3">
        <v>54</v>
      </c>
      <c r="B55" s="6" t="s">
        <v>310</v>
      </c>
      <c r="C55" s="7" t="s">
        <v>306</v>
      </c>
      <c r="D55" s="7" t="s">
        <v>311</v>
      </c>
      <c r="E55" s="7" t="s">
        <v>312</v>
      </c>
      <c r="F55" s="7" t="s">
        <v>313</v>
      </c>
      <c r="G55" s="7" t="s">
        <v>314</v>
      </c>
      <c r="H55" s="7" t="s">
        <v>315</v>
      </c>
      <c r="I55" s="7" t="s">
        <v>315</v>
      </c>
      <c r="J55" s="5" t="s">
        <v>18</v>
      </c>
      <c r="K55" s="7"/>
    </row>
    <row r="56" spans="1:11" ht="51.75" customHeight="1" x14ac:dyDescent="0.25">
      <c r="A56" s="3">
        <v>55</v>
      </c>
      <c r="B56" s="4" t="s">
        <v>316</v>
      </c>
      <c r="C56" s="1" t="s">
        <v>306</v>
      </c>
      <c r="D56" s="1" t="s">
        <v>317</v>
      </c>
      <c r="E56" s="1" t="s">
        <v>312</v>
      </c>
      <c r="F56" s="1" t="s">
        <v>318</v>
      </c>
      <c r="G56" s="1" t="s">
        <v>319</v>
      </c>
      <c r="H56" s="1" t="s">
        <v>320</v>
      </c>
      <c r="I56" s="1" t="s">
        <v>320</v>
      </c>
      <c r="J56" s="5" t="s">
        <v>18</v>
      </c>
      <c r="K56" s="1"/>
    </row>
    <row r="57" spans="1:11" ht="51.75" customHeight="1" x14ac:dyDescent="0.25">
      <c r="A57" s="3">
        <v>56</v>
      </c>
      <c r="B57" s="6" t="s">
        <v>321</v>
      </c>
      <c r="C57" s="7" t="s">
        <v>306</v>
      </c>
      <c r="D57" s="7" t="s">
        <v>322</v>
      </c>
      <c r="E57" s="7" t="s">
        <v>323</v>
      </c>
      <c r="F57" s="7" t="s">
        <v>324</v>
      </c>
      <c r="G57" s="7" t="s">
        <v>89</v>
      </c>
      <c r="H57" s="7" t="s">
        <v>325</v>
      </c>
      <c r="I57" s="7" t="s">
        <v>325</v>
      </c>
      <c r="J57" s="5" t="s">
        <v>18</v>
      </c>
      <c r="K57" s="7"/>
    </row>
    <row r="58" spans="1:11" ht="51.75" customHeight="1" x14ac:dyDescent="0.25">
      <c r="A58" s="3">
        <v>57</v>
      </c>
      <c r="B58" s="4" t="s">
        <v>326</v>
      </c>
      <c r="C58" s="1" t="s">
        <v>306</v>
      </c>
      <c r="D58" s="1" t="s">
        <v>327</v>
      </c>
      <c r="E58" s="1" t="s">
        <v>328</v>
      </c>
      <c r="F58" s="1" t="s">
        <v>329</v>
      </c>
      <c r="G58" s="1" t="s">
        <v>89</v>
      </c>
      <c r="H58" s="1" t="s">
        <v>330</v>
      </c>
      <c r="I58" s="1" t="s">
        <v>330</v>
      </c>
      <c r="J58" s="5" t="s">
        <v>18</v>
      </c>
      <c r="K58" s="1"/>
    </row>
    <row r="59" spans="1:11" ht="51.75" customHeight="1" x14ac:dyDescent="0.25">
      <c r="A59" s="3">
        <v>58</v>
      </c>
      <c r="B59" s="6" t="s">
        <v>331</v>
      </c>
      <c r="C59" s="7" t="s">
        <v>306</v>
      </c>
      <c r="D59" s="7" t="s">
        <v>332</v>
      </c>
      <c r="E59" s="7" t="s">
        <v>333</v>
      </c>
      <c r="F59" s="7" t="s">
        <v>334</v>
      </c>
      <c r="G59" s="7" t="s">
        <v>89</v>
      </c>
      <c r="H59" s="7" t="s">
        <v>335</v>
      </c>
      <c r="I59" s="7" t="s">
        <v>335</v>
      </c>
      <c r="J59" s="5" t="s">
        <v>18</v>
      </c>
      <c r="K59" s="7"/>
    </row>
    <row r="60" spans="1:11" ht="51.75" customHeight="1" x14ac:dyDescent="0.25">
      <c r="A60" s="3">
        <v>59</v>
      </c>
      <c r="B60" s="4" t="s">
        <v>336</v>
      </c>
      <c r="C60" s="1" t="s">
        <v>306</v>
      </c>
      <c r="D60" s="1" t="s">
        <v>337</v>
      </c>
      <c r="E60" s="1" t="s">
        <v>312</v>
      </c>
      <c r="F60" s="1" t="s">
        <v>338</v>
      </c>
      <c r="G60" s="1" t="s">
        <v>89</v>
      </c>
      <c r="H60" s="1" t="s">
        <v>339</v>
      </c>
      <c r="I60" s="1" t="s">
        <v>339</v>
      </c>
      <c r="J60" s="5" t="s">
        <v>18</v>
      </c>
      <c r="K60" s="1"/>
    </row>
    <row r="61" spans="1:11" ht="51.75" customHeight="1" x14ac:dyDescent="0.25">
      <c r="A61" s="3">
        <v>60</v>
      </c>
      <c r="B61" s="6" t="s">
        <v>340</v>
      </c>
      <c r="C61" s="7" t="s">
        <v>341</v>
      </c>
      <c r="D61" s="7" t="s">
        <v>342</v>
      </c>
      <c r="E61" s="7" t="s">
        <v>12</v>
      </c>
      <c r="F61" s="7" t="s">
        <v>343</v>
      </c>
      <c r="G61" s="7" t="s">
        <v>89</v>
      </c>
      <c r="H61" s="7" t="s">
        <v>344</v>
      </c>
      <c r="I61" s="7" t="s">
        <v>344</v>
      </c>
      <c r="J61" s="5" t="s">
        <v>18</v>
      </c>
      <c r="K61" s="7"/>
    </row>
    <row r="62" spans="1:11" ht="51.75" customHeight="1" x14ac:dyDescent="0.25">
      <c r="A62" s="3">
        <v>61</v>
      </c>
      <c r="B62" s="4" t="s">
        <v>345</v>
      </c>
      <c r="C62" s="1" t="s">
        <v>341</v>
      </c>
      <c r="D62" s="1" t="s">
        <v>346</v>
      </c>
      <c r="E62" s="1" t="s">
        <v>347</v>
      </c>
      <c r="F62" s="1" t="s">
        <v>348</v>
      </c>
      <c r="G62" s="1" t="s">
        <v>349</v>
      </c>
      <c r="H62" s="1" t="s">
        <v>315</v>
      </c>
      <c r="I62" s="1" t="s">
        <v>315</v>
      </c>
      <c r="J62" s="5" t="s">
        <v>18</v>
      </c>
      <c r="K62" s="1"/>
    </row>
    <row r="63" spans="1:11" ht="51.75" customHeight="1" x14ac:dyDescent="0.25">
      <c r="A63" s="3">
        <v>62</v>
      </c>
      <c r="B63" s="6" t="s">
        <v>350</v>
      </c>
      <c r="C63" s="7" t="s">
        <v>341</v>
      </c>
      <c r="D63" s="7" t="s">
        <v>351</v>
      </c>
      <c r="E63" s="7" t="s">
        <v>352</v>
      </c>
      <c r="F63" s="7" t="s">
        <v>324</v>
      </c>
      <c r="G63" s="7" t="s">
        <v>89</v>
      </c>
      <c r="H63" s="7" t="s">
        <v>353</v>
      </c>
      <c r="I63" s="7" t="s">
        <v>353</v>
      </c>
      <c r="J63" s="5" t="s">
        <v>18</v>
      </c>
      <c r="K63" s="7"/>
    </row>
    <row r="64" spans="1:11" ht="51.75" customHeight="1" x14ac:dyDescent="0.25">
      <c r="A64" s="3">
        <v>63</v>
      </c>
      <c r="B64" s="4" t="s">
        <v>354</v>
      </c>
      <c r="C64" s="1" t="s">
        <v>341</v>
      </c>
      <c r="D64" s="1" t="s">
        <v>355</v>
      </c>
      <c r="E64" s="1" t="s">
        <v>356</v>
      </c>
      <c r="F64" s="1" t="s">
        <v>257</v>
      </c>
      <c r="G64" s="1" t="s">
        <v>89</v>
      </c>
      <c r="H64" s="1" t="s">
        <v>357</v>
      </c>
      <c r="I64" s="1" t="s">
        <v>357</v>
      </c>
      <c r="J64" s="5" t="s">
        <v>18</v>
      </c>
      <c r="K64" s="1"/>
    </row>
    <row r="65" spans="1:11" ht="51.75" customHeight="1" x14ac:dyDescent="0.25">
      <c r="A65" s="3">
        <v>64</v>
      </c>
      <c r="B65" s="6" t="s">
        <v>358</v>
      </c>
      <c r="C65" s="7" t="s">
        <v>341</v>
      </c>
      <c r="D65" s="7" t="s">
        <v>359</v>
      </c>
      <c r="E65" s="7" t="s">
        <v>347</v>
      </c>
      <c r="F65" s="7" t="s">
        <v>261</v>
      </c>
      <c r="G65" s="7" t="s">
        <v>89</v>
      </c>
      <c r="H65" s="7" t="s">
        <v>360</v>
      </c>
      <c r="I65" s="7" t="s">
        <v>360</v>
      </c>
      <c r="J65" s="5" t="s">
        <v>18</v>
      </c>
      <c r="K65" s="7"/>
    </row>
    <row r="66" spans="1:11" ht="51.75" customHeight="1" x14ac:dyDescent="0.25">
      <c r="A66" s="3">
        <v>65</v>
      </c>
      <c r="B66" s="4" t="s">
        <v>361</v>
      </c>
      <c r="C66" s="1" t="s">
        <v>362</v>
      </c>
      <c r="D66" s="1" t="s">
        <v>363</v>
      </c>
      <c r="E66" s="1" t="s">
        <v>12</v>
      </c>
      <c r="F66" s="1" t="s">
        <v>364</v>
      </c>
      <c r="G66" s="1" t="s">
        <v>89</v>
      </c>
      <c r="H66" s="1" t="s">
        <v>365</v>
      </c>
      <c r="I66" s="1" t="s">
        <v>365</v>
      </c>
      <c r="J66" s="5" t="s">
        <v>18</v>
      </c>
      <c r="K66" s="1"/>
    </row>
    <row r="67" spans="1:11" ht="51.75" customHeight="1" x14ac:dyDescent="0.25">
      <c r="A67" s="3">
        <v>66</v>
      </c>
      <c r="B67" s="6" t="s">
        <v>366</v>
      </c>
      <c r="C67" s="7" t="s">
        <v>362</v>
      </c>
      <c r="D67" s="7" t="s">
        <v>367</v>
      </c>
      <c r="E67" s="7" t="s">
        <v>368</v>
      </c>
      <c r="F67" s="7" t="s">
        <v>369</v>
      </c>
      <c r="G67" s="7" t="s">
        <v>370</v>
      </c>
      <c r="H67" s="7" t="s">
        <v>371</v>
      </c>
      <c r="I67" s="7" t="s">
        <v>371</v>
      </c>
      <c r="J67" s="5" t="s">
        <v>18</v>
      </c>
      <c r="K67" s="7"/>
    </row>
    <row r="68" spans="1:11" ht="51.75" customHeight="1" x14ac:dyDescent="0.25">
      <c r="A68" s="3">
        <v>67</v>
      </c>
      <c r="B68" s="4" t="s">
        <v>372</v>
      </c>
      <c r="C68" s="1" t="s">
        <v>362</v>
      </c>
      <c r="D68" s="1" t="s">
        <v>373</v>
      </c>
      <c r="E68" s="1" t="s">
        <v>368</v>
      </c>
      <c r="F68" s="1" t="s">
        <v>234</v>
      </c>
      <c r="G68" s="1" t="s">
        <v>374</v>
      </c>
      <c r="H68" s="1" t="s">
        <v>375</v>
      </c>
      <c r="I68" s="1" t="s">
        <v>375</v>
      </c>
      <c r="J68" s="5" t="s">
        <v>18</v>
      </c>
      <c r="K68" s="1"/>
    </row>
    <row r="69" spans="1:11" ht="51.75" customHeight="1" x14ac:dyDescent="0.25">
      <c r="A69" s="3">
        <v>68</v>
      </c>
      <c r="B69" s="6" t="s">
        <v>376</v>
      </c>
      <c r="C69" s="7" t="s">
        <v>362</v>
      </c>
      <c r="D69" s="7" t="s">
        <v>377</v>
      </c>
      <c r="E69" s="7" t="s">
        <v>378</v>
      </c>
      <c r="F69" s="7" t="s">
        <v>379</v>
      </c>
      <c r="G69" s="7" t="s">
        <v>380</v>
      </c>
      <c r="H69" s="7" t="s">
        <v>381</v>
      </c>
      <c r="I69" s="7"/>
      <c r="J69" s="8" t="s">
        <v>47</v>
      </c>
      <c r="K69" s="7" t="s">
        <v>36</v>
      </c>
    </row>
    <row r="70" spans="1:11" ht="51.75" customHeight="1" x14ac:dyDescent="0.25">
      <c r="A70" s="3">
        <v>69</v>
      </c>
      <c r="B70" s="4" t="s">
        <v>382</v>
      </c>
      <c r="C70" s="1" t="s">
        <v>362</v>
      </c>
      <c r="D70" s="1" t="s">
        <v>383</v>
      </c>
      <c r="E70" s="1" t="s">
        <v>384</v>
      </c>
      <c r="F70" s="1" t="s">
        <v>385</v>
      </c>
      <c r="G70" s="1" t="s">
        <v>386</v>
      </c>
      <c r="H70" s="1" t="s">
        <v>387</v>
      </c>
      <c r="I70" s="1" t="s">
        <v>387</v>
      </c>
      <c r="J70" s="5" t="s">
        <v>18</v>
      </c>
      <c r="K70" s="1"/>
    </row>
    <row r="71" spans="1:11" ht="51.75" customHeight="1" x14ac:dyDescent="0.25">
      <c r="A71" s="3">
        <v>70</v>
      </c>
      <c r="B71" s="6" t="s">
        <v>388</v>
      </c>
      <c r="C71" s="7" t="s">
        <v>362</v>
      </c>
      <c r="D71" s="7" t="s">
        <v>389</v>
      </c>
      <c r="E71" s="7" t="s">
        <v>390</v>
      </c>
      <c r="F71" s="7" t="s">
        <v>252</v>
      </c>
      <c r="G71" s="7" t="s">
        <v>89</v>
      </c>
      <c r="H71" s="7" t="s">
        <v>391</v>
      </c>
      <c r="I71" s="7" t="s">
        <v>391</v>
      </c>
      <c r="J71" s="5" t="s">
        <v>18</v>
      </c>
      <c r="K71" s="7"/>
    </row>
    <row r="72" spans="1:11" ht="51.75" customHeight="1" x14ac:dyDescent="0.25">
      <c r="A72" s="3">
        <v>71</v>
      </c>
      <c r="B72" s="4" t="s">
        <v>392</v>
      </c>
      <c r="C72" s="1" t="s">
        <v>362</v>
      </c>
      <c r="D72" s="1" t="s">
        <v>393</v>
      </c>
      <c r="E72" s="1" t="s">
        <v>368</v>
      </c>
      <c r="F72" s="1" t="s">
        <v>257</v>
      </c>
      <c r="G72" s="1" t="s">
        <v>89</v>
      </c>
      <c r="H72" s="1" t="s">
        <v>394</v>
      </c>
      <c r="I72" s="1" t="s">
        <v>394</v>
      </c>
      <c r="J72" s="5" t="s">
        <v>18</v>
      </c>
      <c r="K72" s="1"/>
    </row>
    <row r="73" spans="1:11" ht="51.75" customHeight="1" x14ac:dyDescent="0.25">
      <c r="A73" s="3">
        <v>72</v>
      </c>
      <c r="B73" s="6" t="s">
        <v>395</v>
      </c>
      <c r="C73" s="7" t="s">
        <v>362</v>
      </c>
      <c r="D73" s="7" t="s">
        <v>396</v>
      </c>
      <c r="E73" s="7" t="s">
        <v>368</v>
      </c>
      <c r="F73" s="7" t="s">
        <v>261</v>
      </c>
      <c r="G73" s="7" t="s">
        <v>89</v>
      </c>
      <c r="H73" s="7" t="s">
        <v>397</v>
      </c>
      <c r="I73" s="7" t="s">
        <v>397</v>
      </c>
      <c r="J73" s="5" t="s">
        <v>18</v>
      </c>
      <c r="K73" s="7"/>
    </row>
    <row r="74" spans="1:11" ht="51.75" customHeight="1" x14ac:dyDescent="0.25">
      <c r="A74" s="3">
        <v>73</v>
      </c>
      <c r="B74" s="4" t="s">
        <v>398</v>
      </c>
      <c r="C74" s="1" t="s">
        <v>362</v>
      </c>
      <c r="D74" s="1" t="s">
        <v>399</v>
      </c>
      <c r="E74" s="1" t="s">
        <v>299</v>
      </c>
      <c r="F74" s="1" t="s">
        <v>400</v>
      </c>
      <c r="G74" s="1" t="s">
        <v>267</v>
      </c>
      <c r="H74" s="1" t="s">
        <v>301</v>
      </c>
      <c r="I74" s="1" t="s">
        <v>301</v>
      </c>
      <c r="J74" s="5" t="s">
        <v>18</v>
      </c>
      <c r="K74" s="1" t="s">
        <v>269</v>
      </c>
    </row>
    <row r="75" spans="1:11" ht="51.75" customHeight="1" x14ac:dyDescent="0.25">
      <c r="A75" s="3">
        <v>74</v>
      </c>
      <c r="B75" s="6" t="s">
        <v>401</v>
      </c>
      <c r="C75" s="7" t="s">
        <v>402</v>
      </c>
      <c r="D75" s="7" t="s">
        <v>403</v>
      </c>
      <c r="E75" s="7" t="s">
        <v>12</v>
      </c>
      <c r="F75" s="7" t="s">
        <v>404</v>
      </c>
      <c r="G75" s="7" t="s">
        <v>89</v>
      </c>
      <c r="H75" s="7" t="s">
        <v>405</v>
      </c>
      <c r="I75" s="7" t="s">
        <v>405</v>
      </c>
      <c r="J75" s="5" t="s">
        <v>18</v>
      </c>
      <c r="K75" s="7"/>
    </row>
    <row r="76" spans="1:11" ht="51.75" customHeight="1" x14ac:dyDescent="0.25">
      <c r="A76" s="3">
        <v>75</v>
      </c>
      <c r="B76" s="4" t="s">
        <v>406</v>
      </c>
      <c r="C76" s="1" t="s">
        <v>402</v>
      </c>
      <c r="D76" s="1" t="s">
        <v>407</v>
      </c>
      <c r="E76" s="1" t="s">
        <v>408</v>
      </c>
      <c r="F76" s="1" t="s">
        <v>409</v>
      </c>
      <c r="G76" s="1" t="s">
        <v>410</v>
      </c>
      <c r="H76" s="1" t="s">
        <v>411</v>
      </c>
      <c r="I76" s="1" t="s">
        <v>411</v>
      </c>
      <c r="J76" s="5" t="s">
        <v>18</v>
      </c>
      <c r="K76" s="1"/>
    </row>
    <row r="77" spans="1:11" ht="51.75" customHeight="1" x14ac:dyDescent="0.25">
      <c r="A77" s="3">
        <v>76</v>
      </c>
      <c r="B77" s="6" t="s">
        <v>412</v>
      </c>
      <c r="C77" s="7" t="s">
        <v>402</v>
      </c>
      <c r="D77" s="7" t="s">
        <v>413</v>
      </c>
      <c r="E77" s="7" t="s">
        <v>408</v>
      </c>
      <c r="F77" s="7" t="s">
        <v>414</v>
      </c>
      <c r="G77" s="7" t="s">
        <v>415</v>
      </c>
      <c r="H77" s="7" t="s">
        <v>416</v>
      </c>
      <c r="I77" s="7" t="s">
        <v>416</v>
      </c>
      <c r="J77" s="5" t="s">
        <v>18</v>
      </c>
      <c r="K77" s="7"/>
    </row>
    <row r="78" spans="1:11" ht="51.75" customHeight="1" x14ac:dyDescent="0.25">
      <c r="A78" s="3">
        <v>77</v>
      </c>
      <c r="B78" s="4" t="s">
        <v>417</v>
      </c>
      <c r="C78" s="1" t="s">
        <v>402</v>
      </c>
      <c r="D78" s="1" t="s">
        <v>418</v>
      </c>
      <c r="E78" s="1" t="s">
        <v>419</v>
      </c>
      <c r="F78" s="1" t="s">
        <v>420</v>
      </c>
      <c r="G78" s="1" t="s">
        <v>421</v>
      </c>
      <c r="H78" s="1" t="s">
        <v>422</v>
      </c>
      <c r="I78" s="1" t="s">
        <v>422</v>
      </c>
      <c r="J78" s="5" t="s">
        <v>18</v>
      </c>
      <c r="K78" s="1"/>
    </row>
    <row r="79" spans="1:11" ht="51.75" customHeight="1" x14ac:dyDescent="0.25">
      <c r="A79" s="3">
        <v>78</v>
      </c>
      <c r="B79" s="6" t="s">
        <v>423</v>
      </c>
      <c r="C79" s="7" t="s">
        <v>402</v>
      </c>
      <c r="D79" s="7" t="s">
        <v>424</v>
      </c>
      <c r="E79" s="7" t="s">
        <v>425</v>
      </c>
      <c r="F79" s="7" t="s">
        <v>426</v>
      </c>
      <c r="G79" s="7" t="s">
        <v>89</v>
      </c>
      <c r="H79" s="7" t="s">
        <v>391</v>
      </c>
      <c r="I79" s="7" t="s">
        <v>391</v>
      </c>
      <c r="J79" s="5" t="s">
        <v>18</v>
      </c>
      <c r="K79" s="7"/>
    </row>
    <row r="80" spans="1:11" ht="51.75" customHeight="1" x14ac:dyDescent="0.25">
      <c r="A80" s="3">
        <v>79</v>
      </c>
      <c r="B80" s="4" t="s">
        <v>427</v>
      </c>
      <c r="C80" s="1" t="s">
        <v>402</v>
      </c>
      <c r="D80" s="1" t="s">
        <v>428</v>
      </c>
      <c r="E80" s="1" t="s">
        <v>408</v>
      </c>
      <c r="F80" s="1" t="s">
        <v>429</v>
      </c>
      <c r="G80" s="1" t="s">
        <v>89</v>
      </c>
      <c r="H80" s="1" t="s">
        <v>430</v>
      </c>
      <c r="I80" s="1" t="s">
        <v>430</v>
      </c>
      <c r="J80" s="5" t="s">
        <v>18</v>
      </c>
      <c r="K80" s="1"/>
    </row>
    <row r="81" spans="1:11" ht="51.75" customHeight="1" x14ac:dyDescent="0.25">
      <c r="A81" s="3">
        <v>80</v>
      </c>
      <c r="B81" s="6" t="s">
        <v>431</v>
      </c>
      <c r="C81" s="7" t="s">
        <v>432</v>
      </c>
      <c r="D81" s="7" t="s">
        <v>433</v>
      </c>
      <c r="E81" s="7" t="s">
        <v>12</v>
      </c>
      <c r="F81" s="7" t="s">
        <v>434</v>
      </c>
      <c r="G81" s="7" t="s">
        <v>89</v>
      </c>
      <c r="H81" s="7" t="s">
        <v>435</v>
      </c>
      <c r="I81" s="7" t="s">
        <v>435</v>
      </c>
      <c r="J81" s="5" t="s">
        <v>18</v>
      </c>
      <c r="K81" s="7"/>
    </row>
    <row r="82" spans="1:11" ht="51.75" customHeight="1" x14ac:dyDescent="0.25">
      <c r="A82" s="3">
        <v>81</v>
      </c>
      <c r="B82" s="4" t="s">
        <v>436</v>
      </c>
      <c r="C82" s="1" t="s">
        <v>432</v>
      </c>
      <c r="D82" s="1" t="s">
        <v>437</v>
      </c>
      <c r="E82" s="1" t="s">
        <v>438</v>
      </c>
      <c r="F82" s="1" t="s">
        <v>439</v>
      </c>
      <c r="G82" s="1" t="s">
        <v>440</v>
      </c>
      <c r="H82" s="1" t="s">
        <v>441</v>
      </c>
      <c r="I82" s="1" t="s">
        <v>441</v>
      </c>
      <c r="J82" s="5" t="s">
        <v>18</v>
      </c>
      <c r="K82" s="1"/>
    </row>
    <row r="83" spans="1:11" ht="51.75" customHeight="1" x14ac:dyDescent="0.25">
      <c r="A83" s="3">
        <v>82</v>
      </c>
      <c r="B83" s="6" t="s">
        <v>442</v>
      </c>
      <c r="C83" s="7" t="s">
        <v>432</v>
      </c>
      <c r="D83" s="7" t="s">
        <v>443</v>
      </c>
      <c r="E83" s="7" t="s">
        <v>438</v>
      </c>
      <c r="F83" s="7" t="s">
        <v>234</v>
      </c>
      <c r="G83" s="7" t="s">
        <v>444</v>
      </c>
      <c r="H83" s="7" t="s">
        <v>416</v>
      </c>
      <c r="I83" s="7" t="s">
        <v>416</v>
      </c>
      <c r="J83" s="5" t="s">
        <v>18</v>
      </c>
      <c r="K83" s="7"/>
    </row>
    <row r="84" spans="1:11" ht="51.75" customHeight="1" x14ac:dyDescent="0.25">
      <c r="A84" s="3">
        <v>83</v>
      </c>
      <c r="B84" s="4" t="s">
        <v>445</v>
      </c>
      <c r="C84" s="1" t="s">
        <v>432</v>
      </c>
      <c r="D84" s="1" t="s">
        <v>446</v>
      </c>
      <c r="E84" s="1" t="s">
        <v>447</v>
      </c>
      <c r="F84" s="1" t="s">
        <v>448</v>
      </c>
      <c r="G84" s="1" t="s">
        <v>449</v>
      </c>
      <c r="H84" s="1" t="s">
        <v>450</v>
      </c>
      <c r="I84" s="1" t="s">
        <v>450</v>
      </c>
      <c r="J84" s="5" t="s">
        <v>18</v>
      </c>
      <c r="K84" s="1"/>
    </row>
    <row r="85" spans="1:11" ht="51.75" customHeight="1" x14ac:dyDescent="0.25">
      <c r="A85" s="3">
        <v>84</v>
      </c>
      <c r="B85" s="6" t="s">
        <v>451</v>
      </c>
      <c r="C85" s="7" t="s">
        <v>432</v>
      </c>
      <c r="D85" s="7" t="s">
        <v>452</v>
      </c>
      <c r="E85" s="7" t="s">
        <v>453</v>
      </c>
      <c r="F85" s="7" t="s">
        <v>426</v>
      </c>
      <c r="G85" s="7" t="s">
        <v>89</v>
      </c>
      <c r="H85" s="7" t="s">
        <v>391</v>
      </c>
      <c r="I85" s="7" t="s">
        <v>391</v>
      </c>
      <c r="J85" s="5" t="s">
        <v>18</v>
      </c>
      <c r="K85" s="7"/>
    </row>
    <row r="86" spans="1:11" ht="51.75" customHeight="1" x14ac:dyDescent="0.25">
      <c r="A86" s="3">
        <v>85</v>
      </c>
      <c r="B86" s="4" t="s">
        <v>454</v>
      </c>
      <c r="C86" s="1" t="s">
        <v>432</v>
      </c>
      <c r="D86" s="1" t="s">
        <v>455</v>
      </c>
      <c r="E86" s="1" t="s">
        <v>299</v>
      </c>
      <c r="F86" s="1" t="s">
        <v>456</v>
      </c>
      <c r="G86" s="1" t="s">
        <v>267</v>
      </c>
      <c r="H86" s="1" t="s">
        <v>457</v>
      </c>
      <c r="I86" s="1" t="s">
        <v>457</v>
      </c>
      <c r="J86" s="5" t="s">
        <v>18</v>
      </c>
      <c r="K86" s="1" t="s">
        <v>269</v>
      </c>
    </row>
    <row r="87" spans="1:11" ht="51.75" customHeight="1" x14ac:dyDescent="0.25">
      <c r="A87" s="3">
        <v>86</v>
      </c>
      <c r="B87" s="6" t="s">
        <v>458</v>
      </c>
      <c r="C87" s="7" t="s">
        <v>432</v>
      </c>
      <c r="D87" s="7" t="s">
        <v>459</v>
      </c>
      <c r="E87" s="7" t="s">
        <v>438</v>
      </c>
      <c r="F87" s="7" t="s">
        <v>460</v>
      </c>
      <c r="G87" s="7" t="s">
        <v>461</v>
      </c>
      <c r="H87" s="7" t="s">
        <v>462</v>
      </c>
      <c r="I87" s="7" t="s">
        <v>462</v>
      </c>
      <c r="J87" s="5" t="s">
        <v>18</v>
      </c>
      <c r="K87" s="7"/>
    </row>
    <row r="88" spans="1:11" ht="51.75" customHeight="1" x14ac:dyDescent="0.25">
      <c r="A88" s="3">
        <v>87</v>
      </c>
      <c r="B88" s="4" t="s">
        <v>463</v>
      </c>
      <c r="C88" s="1" t="s">
        <v>432</v>
      </c>
      <c r="D88" s="1" t="s">
        <v>464</v>
      </c>
      <c r="E88" s="1" t="s">
        <v>438</v>
      </c>
      <c r="F88" s="1" t="s">
        <v>261</v>
      </c>
      <c r="G88" s="1" t="s">
        <v>89</v>
      </c>
      <c r="H88" s="1" t="s">
        <v>465</v>
      </c>
      <c r="I88" s="1" t="s">
        <v>465</v>
      </c>
      <c r="J88" s="5" t="s">
        <v>18</v>
      </c>
      <c r="K88" s="1"/>
    </row>
    <row r="89" spans="1:11" ht="51.75" customHeight="1" x14ac:dyDescent="0.25">
      <c r="A89" s="3">
        <v>88</v>
      </c>
      <c r="B89" s="6" t="s">
        <v>466</v>
      </c>
      <c r="C89" s="7" t="s">
        <v>467</v>
      </c>
      <c r="D89" s="7" t="s">
        <v>468</v>
      </c>
      <c r="E89" s="7" t="s">
        <v>217</v>
      </c>
      <c r="F89" s="7" t="s">
        <v>469</v>
      </c>
      <c r="G89" s="7" t="s">
        <v>89</v>
      </c>
      <c r="H89" s="7" t="s">
        <v>470</v>
      </c>
      <c r="I89" s="7" t="s">
        <v>470</v>
      </c>
      <c r="J89" s="5" t="s">
        <v>18</v>
      </c>
      <c r="K89" s="7"/>
    </row>
    <row r="90" spans="1:11" ht="51.75" customHeight="1" x14ac:dyDescent="0.25">
      <c r="A90" s="3">
        <v>89</v>
      </c>
      <c r="B90" s="4" t="s">
        <v>471</v>
      </c>
      <c r="C90" s="1" t="s">
        <v>467</v>
      </c>
      <c r="D90" s="1" t="s">
        <v>472</v>
      </c>
      <c r="E90" s="1" t="s">
        <v>473</v>
      </c>
      <c r="F90" s="1" t="s">
        <v>474</v>
      </c>
      <c r="G90" s="1" t="s">
        <v>475</v>
      </c>
      <c r="H90" s="1" t="s">
        <v>476</v>
      </c>
      <c r="I90" s="1" t="s">
        <v>476</v>
      </c>
      <c r="J90" s="5" t="s">
        <v>18</v>
      </c>
      <c r="K90" s="1"/>
    </row>
    <row r="91" spans="1:11" ht="51.75" customHeight="1" x14ac:dyDescent="0.25">
      <c r="A91" s="3">
        <v>90</v>
      </c>
      <c r="B91" s="6" t="s">
        <v>477</v>
      </c>
      <c r="C91" s="7" t="s">
        <v>467</v>
      </c>
      <c r="D91" s="7" t="s">
        <v>478</v>
      </c>
      <c r="E91" s="7" t="s">
        <v>473</v>
      </c>
      <c r="F91" s="7" t="s">
        <v>479</v>
      </c>
      <c r="G91" s="7" t="s">
        <v>480</v>
      </c>
      <c r="H91" s="7" t="s">
        <v>481</v>
      </c>
      <c r="I91" s="7" t="s">
        <v>481</v>
      </c>
      <c r="J91" s="5" t="s">
        <v>18</v>
      </c>
      <c r="K91" s="7"/>
    </row>
    <row r="92" spans="1:11" ht="51.75" customHeight="1" x14ac:dyDescent="0.25">
      <c r="A92" s="3">
        <v>91</v>
      </c>
      <c r="B92" s="4" t="s">
        <v>482</v>
      </c>
      <c r="C92" s="1" t="s">
        <v>467</v>
      </c>
      <c r="D92" s="1" t="s">
        <v>483</v>
      </c>
      <c r="E92" s="1" t="s">
        <v>484</v>
      </c>
      <c r="F92" s="1" t="s">
        <v>485</v>
      </c>
      <c r="G92" s="1" t="s">
        <v>486</v>
      </c>
      <c r="H92" s="1" t="s">
        <v>487</v>
      </c>
      <c r="I92" s="1" t="s">
        <v>487</v>
      </c>
      <c r="J92" s="5" t="s">
        <v>18</v>
      </c>
      <c r="K92" s="1"/>
    </row>
    <row r="93" spans="1:11" ht="51.75" customHeight="1" x14ac:dyDescent="0.25">
      <c r="A93" s="3">
        <v>92</v>
      </c>
      <c r="B93" s="6" t="s">
        <v>488</v>
      </c>
      <c r="C93" s="7" t="s">
        <v>467</v>
      </c>
      <c r="D93" s="7" t="s">
        <v>489</v>
      </c>
      <c r="E93" s="7" t="s">
        <v>490</v>
      </c>
      <c r="F93" s="7" t="s">
        <v>426</v>
      </c>
      <c r="G93" s="7" t="s">
        <v>89</v>
      </c>
      <c r="H93" s="7" t="s">
        <v>391</v>
      </c>
      <c r="I93" s="7" t="s">
        <v>391</v>
      </c>
      <c r="J93" s="5" t="s">
        <v>18</v>
      </c>
      <c r="K93" s="7"/>
    </row>
    <row r="94" spans="1:11" ht="51.75" customHeight="1" x14ac:dyDescent="0.25">
      <c r="A94" s="3">
        <v>93</v>
      </c>
      <c r="B94" s="4" t="s">
        <v>491</v>
      </c>
      <c r="C94" s="1" t="s">
        <v>467</v>
      </c>
      <c r="D94" s="1" t="s">
        <v>492</v>
      </c>
      <c r="E94" s="1" t="s">
        <v>473</v>
      </c>
      <c r="F94" s="1" t="s">
        <v>429</v>
      </c>
      <c r="G94" s="1" t="s">
        <v>89</v>
      </c>
      <c r="H94" s="1" t="s">
        <v>493</v>
      </c>
      <c r="I94" s="1" t="s">
        <v>493</v>
      </c>
      <c r="J94" s="5" t="s">
        <v>18</v>
      </c>
      <c r="K94" s="1"/>
    </row>
    <row r="95" spans="1:11" ht="51.75" customHeight="1" x14ac:dyDescent="0.25">
      <c r="A95" s="3">
        <v>94</v>
      </c>
      <c r="B95" s="6" t="s">
        <v>494</v>
      </c>
      <c r="C95" s="7" t="s">
        <v>495</v>
      </c>
      <c r="D95" s="7" t="s">
        <v>496</v>
      </c>
      <c r="E95" s="7" t="s">
        <v>497</v>
      </c>
      <c r="F95" s="7" t="s">
        <v>498</v>
      </c>
      <c r="G95" s="7" t="s">
        <v>89</v>
      </c>
      <c r="H95" s="7" t="s">
        <v>499</v>
      </c>
      <c r="I95" s="7" t="s">
        <v>499</v>
      </c>
      <c r="J95" s="5" t="s">
        <v>18</v>
      </c>
      <c r="K95" s="7" t="s">
        <v>500</v>
      </c>
    </row>
    <row r="96" spans="1:11" ht="51.75" customHeight="1" x14ac:dyDescent="0.25">
      <c r="A96" s="3">
        <v>95</v>
      </c>
      <c r="B96" s="4" t="s">
        <v>501</v>
      </c>
      <c r="C96" s="1" t="s">
        <v>495</v>
      </c>
      <c r="D96" s="1" t="s">
        <v>502</v>
      </c>
      <c r="E96" s="1" t="s">
        <v>503</v>
      </c>
      <c r="F96" s="1" t="s">
        <v>504</v>
      </c>
      <c r="G96" s="1" t="s">
        <v>505</v>
      </c>
      <c r="H96" s="1" t="s">
        <v>506</v>
      </c>
      <c r="I96" s="1" t="s">
        <v>506</v>
      </c>
      <c r="J96" s="5" t="s">
        <v>18</v>
      </c>
      <c r="K96" s="1"/>
    </row>
    <row r="97" spans="1:11" ht="51.75" customHeight="1" x14ac:dyDescent="0.25">
      <c r="A97" s="3">
        <v>96</v>
      </c>
      <c r="B97" s="6" t="s">
        <v>507</v>
      </c>
      <c r="C97" s="7" t="s">
        <v>495</v>
      </c>
      <c r="D97" s="7" t="s">
        <v>508</v>
      </c>
      <c r="E97" s="7" t="s">
        <v>509</v>
      </c>
      <c r="F97" s="7" t="s">
        <v>510</v>
      </c>
      <c r="G97" s="7" t="s">
        <v>511</v>
      </c>
      <c r="H97" s="7" t="s">
        <v>512</v>
      </c>
      <c r="I97" s="7" t="s">
        <v>512</v>
      </c>
      <c r="J97" s="5" t="s">
        <v>18</v>
      </c>
      <c r="K97" s="7"/>
    </row>
    <row r="98" spans="1:11" ht="51.75" customHeight="1" x14ac:dyDescent="0.25">
      <c r="A98" s="3">
        <v>97</v>
      </c>
      <c r="B98" s="4" t="s">
        <v>513</v>
      </c>
      <c r="C98" s="1" t="s">
        <v>495</v>
      </c>
      <c r="D98" s="1" t="s">
        <v>514</v>
      </c>
      <c r="E98" s="1" t="s">
        <v>515</v>
      </c>
      <c r="F98" s="1" t="s">
        <v>516</v>
      </c>
      <c r="G98" s="1" t="s">
        <v>517</v>
      </c>
      <c r="H98" s="1" t="s">
        <v>518</v>
      </c>
      <c r="I98" s="1" t="s">
        <v>518</v>
      </c>
      <c r="J98" s="5" t="s">
        <v>18</v>
      </c>
      <c r="K98" s="1"/>
    </row>
    <row r="99" spans="1:11" ht="51.75" customHeight="1" x14ac:dyDescent="0.25">
      <c r="A99" s="3">
        <v>98</v>
      </c>
      <c r="B99" s="6" t="s">
        <v>519</v>
      </c>
      <c r="C99" s="7" t="s">
        <v>495</v>
      </c>
      <c r="D99" s="7" t="s">
        <v>520</v>
      </c>
      <c r="E99" s="7" t="s">
        <v>521</v>
      </c>
      <c r="F99" s="7" t="s">
        <v>522</v>
      </c>
      <c r="G99" s="7" t="s">
        <v>89</v>
      </c>
      <c r="H99" s="7" t="s">
        <v>391</v>
      </c>
      <c r="I99" s="7" t="s">
        <v>391</v>
      </c>
      <c r="J99" s="5" t="s">
        <v>18</v>
      </c>
      <c r="K99" s="7"/>
    </row>
    <row r="100" spans="1:11" ht="51.75" customHeight="1" x14ac:dyDescent="0.25">
      <c r="A100" s="3">
        <v>99</v>
      </c>
      <c r="B100" s="4" t="s">
        <v>523</v>
      </c>
      <c r="C100" s="1" t="s">
        <v>495</v>
      </c>
      <c r="D100" s="1" t="s">
        <v>524</v>
      </c>
      <c r="E100" s="1" t="s">
        <v>525</v>
      </c>
      <c r="F100" s="1" t="s">
        <v>526</v>
      </c>
      <c r="G100" s="1" t="s">
        <v>527</v>
      </c>
      <c r="H100" s="1" t="s">
        <v>528</v>
      </c>
      <c r="I100" s="1" t="s">
        <v>528</v>
      </c>
      <c r="J100" s="5" t="s">
        <v>18</v>
      </c>
      <c r="K100" s="1" t="s">
        <v>529</v>
      </c>
    </row>
    <row r="101" spans="1:11" ht="51.75" customHeight="1" x14ac:dyDescent="0.25">
      <c r="A101" s="3">
        <v>100</v>
      </c>
      <c r="B101" s="6" t="s">
        <v>530</v>
      </c>
      <c r="C101" s="7" t="s">
        <v>495</v>
      </c>
      <c r="D101" s="7" t="s">
        <v>531</v>
      </c>
      <c r="E101" s="7" t="s">
        <v>532</v>
      </c>
      <c r="F101" s="7" t="s">
        <v>533</v>
      </c>
      <c r="G101" s="7" t="s">
        <v>534</v>
      </c>
      <c r="H101" s="7" t="s">
        <v>535</v>
      </c>
      <c r="I101" s="7" t="s">
        <v>535</v>
      </c>
      <c r="J101" s="5" t="s">
        <v>18</v>
      </c>
      <c r="K101" s="7" t="s">
        <v>269</v>
      </c>
    </row>
    <row r="102" spans="1:11" ht="51.75" customHeight="1" x14ac:dyDescent="0.25">
      <c r="A102" s="3">
        <v>101</v>
      </c>
      <c r="B102" s="4" t="s">
        <v>536</v>
      </c>
      <c r="C102" s="1" t="s">
        <v>495</v>
      </c>
      <c r="D102" s="1" t="s">
        <v>537</v>
      </c>
      <c r="E102" s="1" t="s">
        <v>503</v>
      </c>
      <c r="F102" s="1" t="s">
        <v>429</v>
      </c>
      <c r="G102" s="1" t="s">
        <v>89</v>
      </c>
      <c r="H102" s="1" t="s">
        <v>538</v>
      </c>
      <c r="I102" s="1" t="s">
        <v>538</v>
      </c>
      <c r="J102" s="5" t="s">
        <v>18</v>
      </c>
      <c r="K102" s="1"/>
    </row>
    <row r="103" spans="1:11" ht="51.75" customHeight="1" x14ac:dyDescent="0.25">
      <c r="A103" s="3">
        <v>102</v>
      </c>
      <c r="B103" s="6" t="s">
        <v>539</v>
      </c>
      <c r="C103" s="7" t="s">
        <v>540</v>
      </c>
      <c r="D103" s="7" t="s">
        <v>541</v>
      </c>
      <c r="E103" s="7" t="s">
        <v>217</v>
      </c>
      <c r="F103" s="7" t="s">
        <v>542</v>
      </c>
      <c r="G103" s="7" t="s">
        <v>543</v>
      </c>
      <c r="H103" s="7" t="s">
        <v>544</v>
      </c>
      <c r="I103" s="7" t="s">
        <v>544</v>
      </c>
      <c r="J103" s="5" t="s">
        <v>18</v>
      </c>
      <c r="K103" s="7"/>
    </row>
    <row r="104" spans="1:11" ht="51.75" customHeight="1" x14ac:dyDescent="0.25">
      <c r="A104" s="3">
        <v>103</v>
      </c>
      <c r="B104" s="4" t="s">
        <v>545</v>
      </c>
      <c r="C104" s="1" t="s">
        <v>540</v>
      </c>
      <c r="D104" s="1" t="s">
        <v>546</v>
      </c>
      <c r="E104" s="1" t="s">
        <v>547</v>
      </c>
      <c r="F104" s="1" t="s">
        <v>548</v>
      </c>
      <c r="G104" s="1" t="s">
        <v>543</v>
      </c>
      <c r="H104" s="1" t="s">
        <v>549</v>
      </c>
      <c r="I104" s="1" t="s">
        <v>549</v>
      </c>
      <c r="J104" s="5" t="s">
        <v>18</v>
      </c>
      <c r="K104" s="1"/>
    </row>
    <row r="105" spans="1:11" ht="51.75" customHeight="1" x14ac:dyDescent="0.25">
      <c r="A105" s="3">
        <v>104</v>
      </c>
      <c r="B105" s="6" t="s">
        <v>550</v>
      </c>
      <c r="C105" s="7" t="s">
        <v>540</v>
      </c>
      <c r="D105" s="7" t="s">
        <v>551</v>
      </c>
      <c r="E105" s="7" t="s">
        <v>547</v>
      </c>
      <c r="F105" s="7" t="s">
        <v>552</v>
      </c>
      <c r="G105" s="7" t="s">
        <v>553</v>
      </c>
      <c r="H105" s="7" t="s">
        <v>554</v>
      </c>
      <c r="I105" s="7" t="s">
        <v>554</v>
      </c>
      <c r="J105" s="5" t="s">
        <v>18</v>
      </c>
      <c r="K105" s="7"/>
    </row>
    <row r="106" spans="1:11" ht="51.75" customHeight="1" x14ac:dyDescent="0.25">
      <c r="A106" s="3">
        <v>105</v>
      </c>
      <c r="B106" s="4" t="s">
        <v>555</v>
      </c>
      <c r="C106" s="1" t="s">
        <v>540</v>
      </c>
      <c r="D106" s="1" t="s">
        <v>556</v>
      </c>
      <c r="E106" s="1" t="s">
        <v>557</v>
      </c>
      <c r="F106" s="1" t="s">
        <v>558</v>
      </c>
      <c r="G106" s="1" t="s">
        <v>89</v>
      </c>
      <c r="H106" s="1" t="s">
        <v>559</v>
      </c>
      <c r="I106" s="1" t="s">
        <v>559</v>
      </c>
      <c r="J106" s="5" t="s">
        <v>18</v>
      </c>
      <c r="K106" s="1"/>
    </row>
    <row r="107" spans="1:11" ht="51.75" customHeight="1" x14ac:dyDescent="0.25">
      <c r="A107" s="3">
        <v>106</v>
      </c>
      <c r="B107" s="6" t="s">
        <v>560</v>
      </c>
      <c r="C107" s="7" t="s">
        <v>561</v>
      </c>
      <c r="D107" s="7" t="s">
        <v>562</v>
      </c>
      <c r="E107" s="7" t="s">
        <v>217</v>
      </c>
      <c r="F107" s="7" t="s">
        <v>563</v>
      </c>
      <c r="G107" s="7" t="s">
        <v>564</v>
      </c>
      <c r="H107" s="7" t="s">
        <v>565</v>
      </c>
      <c r="I107" s="7" t="s">
        <v>565</v>
      </c>
      <c r="J107" s="5" t="s">
        <v>18</v>
      </c>
      <c r="K107" s="7"/>
    </row>
    <row r="108" spans="1:11" ht="51.75" customHeight="1" x14ac:dyDescent="0.25">
      <c r="A108" s="3">
        <v>107</v>
      </c>
      <c r="B108" s="4" t="s">
        <v>566</v>
      </c>
      <c r="C108" s="1" t="s">
        <v>567</v>
      </c>
      <c r="D108" s="1" t="s">
        <v>568</v>
      </c>
      <c r="E108" s="1" t="s">
        <v>569</v>
      </c>
      <c r="F108" s="1" t="s">
        <v>570</v>
      </c>
      <c r="G108" s="1" t="s">
        <v>571</v>
      </c>
      <c r="H108" s="1" t="s">
        <v>572</v>
      </c>
      <c r="I108" s="1" t="s">
        <v>572</v>
      </c>
      <c r="J108" s="5" t="s">
        <v>18</v>
      </c>
      <c r="K108" s="1"/>
    </row>
    <row r="109" spans="1:11" ht="51.75" customHeight="1" x14ac:dyDescent="0.25">
      <c r="A109" s="3">
        <v>108</v>
      </c>
      <c r="B109" s="6" t="s">
        <v>573</v>
      </c>
      <c r="C109" s="7" t="s">
        <v>567</v>
      </c>
      <c r="D109" s="7" t="s">
        <v>574</v>
      </c>
      <c r="E109" s="7" t="s">
        <v>575</v>
      </c>
      <c r="F109" s="7" t="s">
        <v>576</v>
      </c>
      <c r="G109" s="7" t="s">
        <v>577</v>
      </c>
      <c r="H109" s="7" t="s">
        <v>578</v>
      </c>
      <c r="I109" s="7"/>
      <c r="J109" s="8" t="s">
        <v>47</v>
      </c>
      <c r="K109" s="7" t="s">
        <v>36</v>
      </c>
    </row>
    <row r="110" spans="1:11" ht="51.75" customHeight="1" x14ac:dyDescent="0.25">
      <c r="A110" s="3">
        <v>109</v>
      </c>
      <c r="B110" s="4" t="s">
        <v>579</v>
      </c>
      <c r="C110" s="1" t="s">
        <v>580</v>
      </c>
      <c r="D110" s="1" t="s">
        <v>581</v>
      </c>
      <c r="E110" s="1" t="s">
        <v>582</v>
      </c>
      <c r="F110" s="1" t="s">
        <v>583</v>
      </c>
      <c r="G110" s="1" t="s">
        <v>89</v>
      </c>
      <c r="H110" s="1" t="s">
        <v>584</v>
      </c>
      <c r="I110" s="1" t="s">
        <v>584</v>
      </c>
      <c r="J110" s="5" t="s">
        <v>18</v>
      </c>
      <c r="K110" s="1"/>
    </row>
    <row r="111" spans="1:11" ht="51.75" customHeight="1" x14ac:dyDescent="0.25">
      <c r="A111" s="3">
        <v>110</v>
      </c>
      <c r="B111" s="6" t="s">
        <v>585</v>
      </c>
      <c r="C111" s="7" t="s">
        <v>580</v>
      </c>
      <c r="D111" s="7" t="s">
        <v>586</v>
      </c>
      <c r="E111" s="7" t="s">
        <v>587</v>
      </c>
      <c r="F111" s="7" t="s">
        <v>588</v>
      </c>
      <c r="G111" s="7" t="s">
        <v>89</v>
      </c>
      <c r="H111" s="7" t="s">
        <v>589</v>
      </c>
      <c r="I111" s="7" t="s">
        <v>589</v>
      </c>
      <c r="J111" s="5" t="s">
        <v>18</v>
      </c>
      <c r="K111" s="7"/>
    </row>
    <row r="112" spans="1:11" ht="51.75" customHeight="1" x14ac:dyDescent="0.25">
      <c r="A112" s="3">
        <v>111</v>
      </c>
      <c r="B112" s="4" t="s">
        <v>590</v>
      </c>
      <c r="C112" s="1" t="s">
        <v>580</v>
      </c>
      <c r="D112" s="1" t="s">
        <v>591</v>
      </c>
      <c r="E112" s="1" t="s">
        <v>12</v>
      </c>
      <c r="F112" s="1" t="s">
        <v>592</v>
      </c>
      <c r="G112" s="1" t="s">
        <v>593</v>
      </c>
      <c r="H112" s="1" t="s">
        <v>594</v>
      </c>
      <c r="I112" s="1" t="s">
        <v>594</v>
      </c>
      <c r="J112" s="5" t="s">
        <v>18</v>
      </c>
      <c r="K112" s="1"/>
    </row>
    <row r="113" spans="1:11" ht="51.75" customHeight="1" x14ac:dyDescent="0.25">
      <c r="A113" s="3">
        <v>112</v>
      </c>
      <c r="B113" s="6" t="s">
        <v>595</v>
      </c>
      <c r="C113" s="7" t="s">
        <v>580</v>
      </c>
      <c r="D113" s="7" t="s">
        <v>596</v>
      </c>
      <c r="E113" s="7" t="s">
        <v>12</v>
      </c>
      <c r="F113" s="7" t="s">
        <v>597</v>
      </c>
      <c r="G113" s="7" t="s">
        <v>598</v>
      </c>
      <c r="H113" s="7" t="s">
        <v>599</v>
      </c>
      <c r="I113" s="7" t="s">
        <v>599</v>
      </c>
      <c r="J113" s="5" t="s">
        <v>18</v>
      </c>
      <c r="K113" s="7"/>
    </row>
    <row r="114" spans="1:11" ht="51.75" customHeight="1" x14ac:dyDescent="0.25">
      <c r="A114" s="3">
        <v>113</v>
      </c>
      <c r="B114" s="4" t="s">
        <v>600</v>
      </c>
      <c r="C114" s="1" t="s">
        <v>580</v>
      </c>
      <c r="D114" s="1" t="s">
        <v>601</v>
      </c>
      <c r="E114" s="1" t="s">
        <v>602</v>
      </c>
      <c r="F114" s="1" t="s">
        <v>603</v>
      </c>
      <c r="G114" s="1" t="s">
        <v>604</v>
      </c>
      <c r="H114" s="1" t="s">
        <v>605</v>
      </c>
      <c r="I114" s="1" t="s">
        <v>605</v>
      </c>
      <c r="J114" s="5" t="s">
        <v>18</v>
      </c>
      <c r="K114" s="1"/>
    </row>
    <row r="115" spans="1:11" ht="51.75" customHeight="1" x14ac:dyDescent="0.25">
      <c r="A115" s="3">
        <v>114</v>
      </c>
      <c r="B115" s="6" t="s">
        <v>606</v>
      </c>
      <c r="C115" s="7" t="s">
        <v>580</v>
      </c>
      <c r="D115" s="7" t="s">
        <v>607</v>
      </c>
      <c r="E115" s="7" t="s">
        <v>608</v>
      </c>
      <c r="F115" s="7" t="s">
        <v>609</v>
      </c>
      <c r="G115" s="7" t="s">
        <v>89</v>
      </c>
      <c r="H115" s="7" t="s">
        <v>610</v>
      </c>
      <c r="I115" s="7" t="s">
        <v>610</v>
      </c>
      <c r="J115" s="5" t="s">
        <v>18</v>
      </c>
      <c r="K115" s="7"/>
    </row>
    <row r="116" spans="1:11" ht="51.75" customHeight="1" x14ac:dyDescent="0.25">
      <c r="A116" s="3">
        <v>115</v>
      </c>
      <c r="B116" s="4" t="s">
        <v>611</v>
      </c>
      <c r="C116" s="1" t="s">
        <v>580</v>
      </c>
      <c r="D116" s="1" t="s">
        <v>612</v>
      </c>
      <c r="E116" s="1" t="s">
        <v>613</v>
      </c>
      <c r="F116" s="1" t="s">
        <v>614</v>
      </c>
      <c r="G116" s="1" t="s">
        <v>89</v>
      </c>
      <c r="H116" s="1" t="s">
        <v>615</v>
      </c>
      <c r="I116" s="1" t="s">
        <v>615</v>
      </c>
      <c r="J116" s="5" t="s">
        <v>18</v>
      </c>
      <c r="K116" s="1"/>
    </row>
    <row r="117" spans="1:11" ht="51.75" customHeight="1" x14ac:dyDescent="0.25">
      <c r="A117" s="3">
        <v>116</v>
      </c>
      <c r="B117" s="6" t="s">
        <v>616</v>
      </c>
      <c r="C117" s="7" t="s">
        <v>580</v>
      </c>
      <c r="D117" s="7" t="s">
        <v>617</v>
      </c>
      <c r="E117" s="7" t="s">
        <v>618</v>
      </c>
      <c r="F117" s="7" t="s">
        <v>619</v>
      </c>
      <c r="G117" s="7" t="s">
        <v>89</v>
      </c>
      <c r="H117" s="7" t="s">
        <v>620</v>
      </c>
      <c r="I117" s="7" t="s">
        <v>620</v>
      </c>
      <c r="J117" s="5" t="s">
        <v>18</v>
      </c>
      <c r="K117" s="7"/>
    </row>
    <row r="118" spans="1:11" ht="51.75" customHeight="1" x14ac:dyDescent="0.25">
      <c r="A118" s="3">
        <v>117</v>
      </c>
      <c r="B118" s="4" t="s">
        <v>621</v>
      </c>
      <c r="C118" s="1" t="s">
        <v>580</v>
      </c>
      <c r="D118" s="1" t="s">
        <v>622</v>
      </c>
      <c r="E118" s="1" t="s">
        <v>623</v>
      </c>
      <c r="F118" s="1" t="s">
        <v>624</v>
      </c>
      <c r="G118" s="1" t="s">
        <v>89</v>
      </c>
      <c r="H118" s="1" t="s">
        <v>625</v>
      </c>
      <c r="I118" s="1" t="s">
        <v>625</v>
      </c>
      <c r="J118" s="5" t="s">
        <v>18</v>
      </c>
      <c r="K118" s="1"/>
    </row>
    <row r="119" spans="1:11" ht="51.75" customHeight="1" x14ac:dyDescent="0.25">
      <c r="A119" s="3">
        <v>118</v>
      </c>
      <c r="B119" s="6" t="s">
        <v>626</v>
      </c>
      <c r="C119" s="7" t="s">
        <v>627</v>
      </c>
      <c r="D119" s="7" t="s">
        <v>628</v>
      </c>
      <c r="E119" s="7" t="s">
        <v>629</v>
      </c>
      <c r="F119" s="7" t="s">
        <v>630</v>
      </c>
      <c r="G119" s="7" t="s">
        <v>89</v>
      </c>
      <c r="H119" s="7" t="s">
        <v>631</v>
      </c>
      <c r="I119" s="7" t="s">
        <v>631</v>
      </c>
      <c r="J119" s="5" t="s">
        <v>18</v>
      </c>
      <c r="K119" s="7"/>
    </row>
    <row r="120" spans="1:11" ht="51.75" customHeight="1" x14ac:dyDescent="0.25">
      <c r="A120" s="3">
        <v>119</v>
      </c>
      <c r="B120" s="4" t="s">
        <v>632</v>
      </c>
      <c r="C120" s="1" t="s">
        <v>633</v>
      </c>
      <c r="D120" s="1" t="s">
        <v>634</v>
      </c>
      <c r="E120" s="1" t="s">
        <v>635</v>
      </c>
      <c r="F120" s="1" t="s">
        <v>636</v>
      </c>
      <c r="G120" s="1" t="s">
        <v>637</v>
      </c>
      <c r="H120" s="1" t="s">
        <v>638</v>
      </c>
      <c r="I120" s="1" t="s">
        <v>638</v>
      </c>
      <c r="J120" s="5" t="s">
        <v>18</v>
      </c>
      <c r="K120" s="1"/>
    </row>
    <row r="121" spans="1:11" ht="51.75" customHeight="1" x14ac:dyDescent="0.25">
      <c r="A121" s="3">
        <v>120</v>
      </c>
      <c r="B121" s="6" t="s">
        <v>639</v>
      </c>
      <c r="C121" s="7" t="s">
        <v>633</v>
      </c>
      <c r="D121" s="7" t="s">
        <v>640</v>
      </c>
      <c r="E121" s="7" t="s">
        <v>641</v>
      </c>
      <c r="F121" s="7" t="s">
        <v>642</v>
      </c>
      <c r="G121" s="7" t="s">
        <v>89</v>
      </c>
      <c r="H121" s="7" t="s">
        <v>643</v>
      </c>
      <c r="I121" s="7" t="s">
        <v>643</v>
      </c>
      <c r="J121" s="5" t="s">
        <v>18</v>
      </c>
      <c r="K121" s="7"/>
    </row>
    <row r="122" spans="1:11" ht="51.75" customHeight="1" x14ac:dyDescent="0.25">
      <c r="A122" s="3">
        <v>121</v>
      </c>
      <c r="B122" s="4" t="s">
        <v>644</v>
      </c>
      <c r="C122" s="1" t="s">
        <v>633</v>
      </c>
      <c r="D122" s="1" t="s">
        <v>645</v>
      </c>
      <c r="E122" s="1" t="s">
        <v>641</v>
      </c>
      <c r="F122" s="1" t="s">
        <v>646</v>
      </c>
      <c r="G122" s="1" t="s">
        <v>89</v>
      </c>
      <c r="H122" s="1" t="s">
        <v>647</v>
      </c>
      <c r="I122" s="1" t="s">
        <v>647</v>
      </c>
      <c r="J122" s="5" t="s">
        <v>18</v>
      </c>
      <c r="K122" s="1"/>
    </row>
    <row r="123" spans="1:11" ht="51.75" customHeight="1" x14ac:dyDescent="0.25">
      <c r="A123" s="3">
        <v>122</v>
      </c>
      <c r="B123" s="6" t="s">
        <v>648</v>
      </c>
      <c r="C123" s="7" t="s">
        <v>633</v>
      </c>
      <c r="D123" s="7" t="s">
        <v>649</v>
      </c>
      <c r="E123" s="7" t="s">
        <v>641</v>
      </c>
      <c r="F123" s="7" t="s">
        <v>650</v>
      </c>
      <c r="G123" s="7" t="s">
        <v>89</v>
      </c>
      <c r="H123" s="7" t="s">
        <v>651</v>
      </c>
      <c r="I123" s="7" t="s">
        <v>651</v>
      </c>
      <c r="J123" s="5" t="s">
        <v>18</v>
      </c>
      <c r="K123" s="7"/>
    </row>
    <row r="124" spans="1:11" ht="51.75" customHeight="1" x14ac:dyDescent="0.25">
      <c r="A124" s="3">
        <v>123</v>
      </c>
      <c r="B124" s="4" t="s">
        <v>652</v>
      </c>
      <c r="C124" s="1" t="s">
        <v>633</v>
      </c>
      <c r="D124" s="1" t="s">
        <v>653</v>
      </c>
      <c r="E124" s="1" t="s">
        <v>654</v>
      </c>
      <c r="F124" s="1" t="s">
        <v>655</v>
      </c>
      <c r="G124" s="1" t="s">
        <v>656</v>
      </c>
      <c r="H124" s="1" t="s">
        <v>657</v>
      </c>
      <c r="I124" s="1" t="s">
        <v>657</v>
      </c>
      <c r="J124" s="5" t="s">
        <v>18</v>
      </c>
      <c r="K124" s="1"/>
    </row>
    <row r="125" spans="1:11" ht="51.75" customHeight="1" x14ac:dyDescent="0.25">
      <c r="A125" s="3">
        <v>124</v>
      </c>
      <c r="B125" s="6" t="s">
        <v>658</v>
      </c>
      <c r="C125" s="7" t="s">
        <v>633</v>
      </c>
      <c r="D125" s="7" t="s">
        <v>659</v>
      </c>
      <c r="E125" s="7" t="s">
        <v>660</v>
      </c>
      <c r="F125" s="7" t="s">
        <v>661</v>
      </c>
      <c r="G125" s="7" t="s">
        <v>662</v>
      </c>
      <c r="H125" s="7" t="s">
        <v>663</v>
      </c>
      <c r="I125" s="7"/>
      <c r="J125" s="8" t="s">
        <v>47</v>
      </c>
      <c r="K125" s="7"/>
    </row>
  </sheetData>
  <autoFilter ref="A1:K125" xr:uid="{00000000-0009-0000-0000-000000000000}"/>
  <dataValidations count="1">
    <dataValidation type="list" allowBlank="1" showErrorMessage="1" errorTitle="Giá trị không hợp lệ" error="Chọn: Pass, Fail, Pending hoặc N/A" sqref="J2:J125" xr:uid="{00000000-0002-0000-00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topLeftCell="A2" zoomScaleNormal="100" workbookViewId="0">
      <selection activeCell="A2" sqref="A2:H2"/>
    </sheetView>
  </sheetViews>
  <sheetFormatPr defaultColWidth="8.59765625" defaultRowHeight="13.8" x14ac:dyDescent="0.25"/>
  <cols>
    <col min="1" max="1" width="6" customWidth="1"/>
    <col min="2" max="2" width="32" customWidth="1"/>
    <col min="3" max="6" width="10" customWidth="1"/>
    <col min="7" max="7" width="16" customWidth="1"/>
    <col min="8" max="8" width="30" customWidth="1"/>
  </cols>
  <sheetData>
    <row r="1" spans="1:8" ht="36" customHeight="1" x14ac:dyDescent="0.25">
      <c r="A1" s="26" t="s">
        <v>664</v>
      </c>
      <c r="B1" s="26"/>
      <c r="C1" s="26"/>
      <c r="D1" s="26"/>
      <c r="E1" s="26"/>
      <c r="F1" s="26"/>
      <c r="G1" s="26"/>
      <c r="H1" s="26"/>
    </row>
    <row r="2" spans="1:8" ht="19.5" customHeight="1" x14ac:dyDescent="0.25">
      <c r="A2" s="27"/>
      <c r="B2" s="27"/>
      <c r="C2" s="27"/>
      <c r="D2" s="27"/>
      <c r="E2" s="27"/>
      <c r="F2" s="27"/>
      <c r="G2" s="27"/>
      <c r="H2" s="27"/>
    </row>
    <row r="4" spans="1:8" ht="25.5" customHeight="1" x14ac:dyDescent="0.25">
      <c r="A4" s="2" t="s">
        <v>0</v>
      </c>
      <c r="B4" s="2" t="s">
        <v>2</v>
      </c>
      <c r="C4" s="2" t="s">
        <v>665</v>
      </c>
      <c r="D4" s="2" t="s">
        <v>18</v>
      </c>
      <c r="E4" s="2" t="s">
        <v>666</v>
      </c>
      <c r="F4" s="2" t="s">
        <v>47</v>
      </c>
      <c r="G4" s="2" t="s">
        <v>667</v>
      </c>
      <c r="H4" s="2" t="s">
        <v>10</v>
      </c>
    </row>
    <row r="5" spans="1:8" ht="19.5" customHeight="1" x14ac:dyDescent="0.25">
      <c r="A5" s="3">
        <v>1</v>
      </c>
      <c r="B5" s="1" t="s">
        <v>12</v>
      </c>
      <c r="C5" s="9">
        <v>8</v>
      </c>
      <c r="D5" s="5">
        <v>6</v>
      </c>
      <c r="E5" s="10">
        <v>0</v>
      </c>
      <c r="F5" s="8">
        <v>2</v>
      </c>
      <c r="G5" s="11">
        <f t="shared" ref="G5:G26" si="0">D5/C5</f>
        <v>0.75</v>
      </c>
      <c r="H5" s="12"/>
    </row>
    <row r="6" spans="1:8" ht="19.5" customHeight="1" x14ac:dyDescent="0.25">
      <c r="A6" s="3">
        <v>2</v>
      </c>
      <c r="B6" s="7" t="s">
        <v>60</v>
      </c>
      <c r="C6" s="13">
        <v>4</v>
      </c>
      <c r="D6" s="5">
        <v>2</v>
      </c>
      <c r="E6" s="14">
        <v>0</v>
      </c>
      <c r="F6" s="8">
        <v>2</v>
      </c>
      <c r="G6" s="15">
        <f t="shared" si="0"/>
        <v>0.5</v>
      </c>
      <c r="H6" s="16"/>
    </row>
    <row r="7" spans="1:8" ht="19.5" customHeight="1" x14ac:dyDescent="0.25">
      <c r="A7" s="3">
        <v>3</v>
      </c>
      <c r="B7" s="1" t="s">
        <v>85</v>
      </c>
      <c r="C7" s="9">
        <v>6</v>
      </c>
      <c r="D7" s="5">
        <v>6</v>
      </c>
      <c r="E7" s="10">
        <v>0</v>
      </c>
      <c r="F7" s="10">
        <v>0</v>
      </c>
      <c r="G7" s="11">
        <f t="shared" si="0"/>
        <v>1</v>
      </c>
      <c r="H7" s="12"/>
    </row>
    <row r="8" spans="1:8" ht="19.5" customHeight="1" x14ac:dyDescent="0.25">
      <c r="A8" s="3">
        <v>4</v>
      </c>
      <c r="B8" s="7" t="s">
        <v>118</v>
      </c>
      <c r="C8" s="13">
        <v>6</v>
      </c>
      <c r="D8" s="5">
        <v>3</v>
      </c>
      <c r="E8" s="14">
        <v>0</v>
      </c>
      <c r="F8" s="8">
        <v>3</v>
      </c>
      <c r="G8" s="15">
        <f t="shared" si="0"/>
        <v>0.5</v>
      </c>
      <c r="H8" s="16"/>
    </row>
    <row r="9" spans="1:8" ht="19.5" customHeight="1" x14ac:dyDescent="0.25">
      <c r="A9" s="3">
        <v>5</v>
      </c>
      <c r="B9" s="1" t="s">
        <v>155</v>
      </c>
      <c r="C9" s="9">
        <v>2</v>
      </c>
      <c r="D9" s="5">
        <v>2</v>
      </c>
      <c r="E9" s="10">
        <v>0</v>
      </c>
      <c r="F9" s="10">
        <v>0</v>
      </c>
      <c r="G9" s="11">
        <f t="shared" si="0"/>
        <v>1</v>
      </c>
      <c r="H9" s="12"/>
    </row>
    <row r="10" spans="1:8" ht="19.5" customHeight="1" x14ac:dyDescent="0.25">
      <c r="A10" s="3">
        <v>6</v>
      </c>
      <c r="B10" s="7" t="s">
        <v>167</v>
      </c>
      <c r="C10" s="13">
        <v>3</v>
      </c>
      <c r="D10" s="5">
        <v>2</v>
      </c>
      <c r="E10" s="14">
        <v>0</v>
      </c>
      <c r="F10" s="8">
        <v>1</v>
      </c>
      <c r="G10" s="15">
        <f t="shared" si="0"/>
        <v>0.66666666666666663</v>
      </c>
      <c r="H10" s="16"/>
    </row>
    <row r="11" spans="1:8" ht="19.5" customHeight="1" x14ac:dyDescent="0.25">
      <c r="A11" s="3">
        <v>7</v>
      </c>
      <c r="B11" s="1" t="s">
        <v>668</v>
      </c>
      <c r="C11" s="9">
        <v>6</v>
      </c>
      <c r="D11" s="5">
        <v>6</v>
      </c>
      <c r="E11" s="10">
        <v>0</v>
      </c>
      <c r="F11" s="10">
        <v>0</v>
      </c>
      <c r="G11" s="11">
        <f t="shared" si="0"/>
        <v>1</v>
      </c>
      <c r="H11" s="12"/>
    </row>
    <row r="12" spans="1:8" ht="19.5" customHeight="1" x14ac:dyDescent="0.25">
      <c r="A12" s="3">
        <v>8</v>
      </c>
      <c r="B12" s="7" t="s">
        <v>669</v>
      </c>
      <c r="C12" s="13">
        <v>10</v>
      </c>
      <c r="D12" s="5">
        <v>7</v>
      </c>
      <c r="E12" s="14">
        <v>0</v>
      </c>
      <c r="F12" s="8">
        <v>3</v>
      </c>
      <c r="G12" s="15">
        <f t="shared" si="0"/>
        <v>0.7</v>
      </c>
      <c r="H12" s="16"/>
    </row>
    <row r="13" spans="1:8" ht="19.5" customHeight="1" x14ac:dyDescent="0.25">
      <c r="A13" s="3">
        <v>9</v>
      </c>
      <c r="B13" s="1" t="s">
        <v>670</v>
      </c>
      <c r="C13" s="9">
        <v>7</v>
      </c>
      <c r="D13" s="5">
        <v>6</v>
      </c>
      <c r="E13" s="10">
        <v>0</v>
      </c>
      <c r="F13" s="8">
        <v>1</v>
      </c>
      <c r="G13" s="11">
        <f t="shared" si="0"/>
        <v>0.8571428571428571</v>
      </c>
      <c r="H13" s="12"/>
    </row>
    <row r="14" spans="1:8" ht="19.5" customHeight="1" x14ac:dyDescent="0.25">
      <c r="A14" s="3">
        <v>10</v>
      </c>
      <c r="B14" s="7" t="s">
        <v>671</v>
      </c>
      <c r="C14" s="13">
        <v>7</v>
      </c>
      <c r="D14" s="5">
        <v>7</v>
      </c>
      <c r="E14" s="14">
        <v>0</v>
      </c>
      <c r="F14" s="14">
        <v>0</v>
      </c>
      <c r="G14" s="15">
        <f t="shared" si="0"/>
        <v>1</v>
      </c>
      <c r="H14" s="16"/>
    </row>
    <row r="15" spans="1:8" ht="19.5" customHeight="1" x14ac:dyDescent="0.25">
      <c r="A15" s="3">
        <v>11</v>
      </c>
      <c r="B15" s="1" t="s">
        <v>672</v>
      </c>
      <c r="C15" s="9">
        <v>5</v>
      </c>
      <c r="D15" s="5">
        <v>5</v>
      </c>
      <c r="E15" s="10">
        <v>0</v>
      </c>
      <c r="F15" s="10">
        <v>0</v>
      </c>
      <c r="G15" s="11">
        <f t="shared" si="0"/>
        <v>1</v>
      </c>
      <c r="H15" s="12"/>
    </row>
    <row r="16" spans="1:8" ht="19.5" customHeight="1" x14ac:dyDescent="0.25">
      <c r="A16" s="3">
        <v>12</v>
      </c>
      <c r="B16" s="7" t="s">
        <v>673</v>
      </c>
      <c r="C16" s="13">
        <v>9</v>
      </c>
      <c r="D16" s="5">
        <v>7</v>
      </c>
      <c r="E16" s="14">
        <v>0</v>
      </c>
      <c r="F16" s="8">
        <v>2</v>
      </c>
      <c r="G16" s="15">
        <f t="shared" si="0"/>
        <v>0.77777777777777779</v>
      </c>
      <c r="H16" s="16"/>
    </row>
    <row r="17" spans="1:8" ht="19.5" customHeight="1" x14ac:dyDescent="0.25">
      <c r="A17" s="3">
        <v>13</v>
      </c>
      <c r="B17" s="1" t="s">
        <v>674</v>
      </c>
      <c r="C17" s="9">
        <v>6</v>
      </c>
      <c r="D17" s="5">
        <v>6</v>
      </c>
      <c r="E17" s="10">
        <v>0</v>
      </c>
      <c r="F17" s="10">
        <v>0</v>
      </c>
      <c r="G17" s="11">
        <f t="shared" si="0"/>
        <v>1</v>
      </c>
      <c r="H17" s="12"/>
    </row>
    <row r="18" spans="1:8" ht="19.5" customHeight="1" x14ac:dyDescent="0.25">
      <c r="A18" s="3">
        <v>14</v>
      </c>
      <c r="B18" s="7" t="s">
        <v>675</v>
      </c>
      <c r="C18" s="13">
        <v>8</v>
      </c>
      <c r="D18" s="5">
        <v>7</v>
      </c>
      <c r="E18" s="14">
        <v>0</v>
      </c>
      <c r="F18" s="8">
        <v>1</v>
      </c>
      <c r="G18" s="15">
        <f t="shared" si="0"/>
        <v>0.875</v>
      </c>
      <c r="H18" s="16"/>
    </row>
    <row r="19" spans="1:8" ht="19.5" customHeight="1" x14ac:dyDescent="0.25">
      <c r="A19" s="3">
        <v>15</v>
      </c>
      <c r="B19" s="1" t="s">
        <v>676</v>
      </c>
      <c r="C19" s="9">
        <v>6</v>
      </c>
      <c r="D19" s="5">
        <v>6</v>
      </c>
      <c r="E19" s="10">
        <v>0</v>
      </c>
      <c r="F19" s="10">
        <v>0</v>
      </c>
      <c r="G19" s="11">
        <f t="shared" si="0"/>
        <v>1</v>
      </c>
      <c r="H19" s="12"/>
    </row>
    <row r="20" spans="1:8" ht="19.5" customHeight="1" x14ac:dyDescent="0.25">
      <c r="A20" s="3">
        <v>16</v>
      </c>
      <c r="B20" s="7" t="s">
        <v>677</v>
      </c>
      <c r="C20" s="13">
        <v>8</v>
      </c>
      <c r="D20" s="5">
        <v>8</v>
      </c>
      <c r="E20" s="14">
        <v>0</v>
      </c>
      <c r="F20" s="14">
        <v>0</v>
      </c>
      <c r="G20" s="15">
        <f t="shared" si="0"/>
        <v>1</v>
      </c>
      <c r="H20" s="16"/>
    </row>
    <row r="21" spans="1:8" ht="19.5" customHeight="1" x14ac:dyDescent="0.25">
      <c r="A21" s="3">
        <v>17</v>
      </c>
      <c r="B21" s="1" t="s">
        <v>678</v>
      </c>
      <c r="C21" s="9">
        <v>4</v>
      </c>
      <c r="D21" s="5">
        <v>4</v>
      </c>
      <c r="E21" s="10">
        <v>0</v>
      </c>
      <c r="F21" s="10">
        <v>0</v>
      </c>
      <c r="G21" s="11">
        <f t="shared" si="0"/>
        <v>1</v>
      </c>
      <c r="H21" s="12"/>
    </row>
    <row r="22" spans="1:8" ht="19.5" customHeight="1" x14ac:dyDescent="0.25">
      <c r="A22" s="3">
        <v>18</v>
      </c>
      <c r="B22" s="7" t="s">
        <v>679</v>
      </c>
      <c r="C22" s="13">
        <v>3</v>
      </c>
      <c r="D22" s="5">
        <v>2</v>
      </c>
      <c r="E22" s="14">
        <v>0</v>
      </c>
      <c r="F22" s="8">
        <v>1</v>
      </c>
      <c r="G22" s="15">
        <f t="shared" si="0"/>
        <v>0.66666666666666663</v>
      </c>
      <c r="H22" s="16"/>
    </row>
    <row r="23" spans="1:8" ht="19.5" customHeight="1" x14ac:dyDescent="0.25">
      <c r="A23" s="3">
        <v>19</v>
      </c>
      <c r="B23" s="1" t="s">
        <v>580</v>
      </c>
      <c r="C23" s="9">
        <v>9</v>
      </c>
      <c r="D23" s="5">
        <v>8</v>
      </c>
      <c r="E23" s="10">
        <v>0</v>
      </c>
      <c r="F23" s="8">
        <v>1</v>
      </c>
      <c r="G23" s="11">
        <f t="shared" si="0"/>
        <v>0.88888888888888884</v>
      </c>
      <c r="H23" s="12"/>
    </row>
    <row r="24" spans="1:8" ht="19.5" customHeight="1" x14ac:dyDescent="0.25">
      <c r="A24" s="3">
        <v>20</v>
      </c>
      <c r="B24" s="7" t="s">
        <v>627</v>
      </c>
      <c r="C24" s="13">
        <v>1</v>
      </c>
      <c r="D24" s="5">
        <v>1</v>
      </c>
      <c r="E24" s="14">
        <v>0</v>
      </c>
      <c r="F24" s="14">
        <v>0</v>
      </c>
      <c r="G24" s="15">
        <f t="shared" si="0"/>
        <v>1</v>
      </c>
      <c r="H24" s="16"/>
    </row>
    <row r="25" spans="1:8" ht="19.5" customHeight="1" x14ac:dyDescent="0.25">
      <c r="A25" s="3">
        <v>21</v>
      </c>
      <c r="B25" s="1" t="s">
        <v>633</v>
      </c>
      <c r="C25" s="9">
        <v>6</v>
      </c>
      <c r="D25" s="5">
        <v>4</v>
      </c>
      <c r="E25" s="10">
        <v>0</v>
      </c>
      <c r="F25" s="8">
        <v>2</v>
      </c>
      <c r="G25" s="11">
        <f t="shared" si="0"/>
        <v>0.66666666666666663</v>
      </c>
      <c r="H25" s="12"/>
    </row>
    <row r="26" spans="1:8" ht="25.5" customHeight="1" x14ac:dyDescent="0.25">
      <c r="A26" s="17" t="s">
        <v>680</v>
      </c>
      <c r="B26" s="18" t="s">
        <v>681</v>
      </c>
      <c r="C26" s="17">
        <f>SUM(C5:C25)</f>
        <v>124</v>
      </c>
      <c r="D26" s="19">
        <f>SUM(D5:D25)</f>
        <v>105</v>
      </c>
      <c r="E26" s="20">
        <f>SUM(E5:E25)</f>
        <v>0</v>
      </c>
      <c r="F26" s="21">
        <f>SUM(F5:F25)</f>
        <v>19</v>
      </c>
      <c r="G26" s="22">
        <f t="shared" si="0"/>
        <v>0.84677419354838712</v>
      </c>
      <c r="H26" s="17"/>
    </row>
    <row r="29" spans="1:8" ht="13.5" customHeight="1" x14ac:dyDescent="0.25">
      <c r="A29" s="28" t="s">
        <v>682</v>
      </c>
      <c r="B29" s="28"/>
      <c r="C29" s="28"/>
      <c r="D29" s="28"/>
      <c r="E29" s="28"/>
      <c r="F29" s="28"/>
      <c r="G29" s="28"/>
      <c r="H29" s="28"/>
    </row>
    <row r="30" spans="1:8" ht="19.5" customHeight="1" x14ac:dyDescent="0.25">
      <c r="A30" s="5" t="s">
        <v>18</v>
      </c>
      <c r="B30" s="25" t="s">
        <v>683</v>
      </c>
      <c r="C30" s="25"/>
      <c r="D30" s="25"/>
      <c r="E30" s="25"/>
      <c r="F30" s="25"/>
      <c r="G30" s="25"/>
      <c r="H30" s="25"/>
    </row>
    <row r="31" spans="1:8" ht="19.5" customHeight="1" x14ac:dyDescent="0.25">
      <c r="A31" s="23" t="s">
        <v>666</v>
      </c>
      <c r="B31" s="25" t="s">
        <v>684</v>
      </c>
      <c r="C31" s="25"/>
      <c r="D31" s="25"/>
      <c r="E31" s="25"/>
      <c r="F31" s="25"/>
      <c r="G31" s="25"/>
      <c r="H31" s="25"/>
    </row>
    <row r="32" spans="1:8" ht="19.5" customHeight="1" x14ac:dyDescent="0.25">
      <c r="A32" s="8" t="s">
        <v>47</v>
      </c>
      <c r="B32" s="25" t="s">
        <v>685</v>
      </c>
      <c r="C32" s="25"/>
      <c r="D32" s="25"/>
      <c r="E32" s="25"/>
      <c r="F32" s="25"/>
      <c r="G32" s="25"/>
      <c r="H32" s="25"/>
    </row>
    <row r="33" spans="1:8" ht="19.5" customHeight="1" x14ac:dyDescent="0.25">
      <c r="A33" s="24" t="s">
        <v>686</v>
      </c>
      <c r="B33" s="25" t="s">
        <v>687</v>
      </c>
      <c r="C33" s="25"/>
      <c r="D33" s="25"/>
      <c r="E33" s="25"/>
      <c r="F33" s="25"/>
      <c r="G33" s="25"/>
      <c r="H33" s="25"/>
    </row>
  </sheetData>
  <mergeCells count="7">
    <mergeCell ref="B32:H32"/>
    <mergeCell ref="B33:H33"/>
    <mergeCell ref="A1:H1"/>
    <mergeCell ref="A2:H2"/>
    <mergeCell ref="A29:H29"/>
    <mergeCell ref="B30:H30"/>
    <mergeCell ref="B31:H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zoomScaleNormal="100" workbookViewId="0">
      <pane ySplit="2" topLeftCell="A3" activePane="bottomLeft" state="frozen"/>
      <selection pane="bottomLeft" sqref="A1:K1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688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1.75" customHeight="1" x14ac:dyDescent="0.25">
      <c r="A3" s="3">
        <v>1</v>
      </c>
      <c r="B3" s="4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/>
      <c r="J3" s="5" t="s">
        <v>18</v>
      </c>
      <c r="K3" s="1"/>
    </row>
    <row r="4" spans="1:11" ht="51.75" customHeight="1" x14ac:dyDescent="0.25">
      <c r="A4" s="3">
        <v>2</v>
      </c>
      <c r="B4" s="6" t="s">
        <v>19</v>
      </c>
      <c r="C4" s="7" t="s">
        <v>12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/>
      <c r="J4" s="5" t="s">
        <v>18</v>
      </c>
      <c r="K4" s="7"/>
    </row>
    <row r="5" spans="1:11" ht="51.75" customHeight="1" x14ac:dyDescent="0.25">
      <c r="A5" s="3">
        <v>3</v>
      </c>
      <c r="B5" s="4" t="s">
        <v>25</v>
      </c>
      <c r="C5" s="1" t="s">
        <v>12</v>
      </c>
      <c r="D5" s="1" t="s">
        <v>26</v>
      </c>
      <c r="E5" s="1" t="s">
        <v>21</v>
      </c>
      <c r="F5" s="1" t="s">
        <v>27</v>
      </c>
      <c r="G5" s="1" t="s">
        <v>28</v>
      </c>
      <c r="H5" s="1" t="s">
        <v>29</v>
      </c>
      <c r="I5" s="1"/>
      <c r="J5" s="5" t="s">
        <v>18</v>
      </c>
      <c r="K5" s="1"/>
    </row>
    <row r="6" spans="1:11" ht="51.75" customHeight="1" x14ac:dyDescent="0.25">
      <c r="A6" s="3">
        <v>4</v>
      </c>
      <c r="B6" s="6" t="s">
        <v>30</v>
      </c>
      <c r="C6" s="7" t="s">
        <v>12</v>
      </c>
      <c r="D6" s="7" t="s">
        <v>31</v>
      </c>
      <c r="E6" s="7" t="s">
        <v>32</v>
      </c>
      <c r="F6" s="7" t="s">
        <v>33</v>
      </c>
      <c r="G6" s="7" t="s">
        <v>34</v>
      </c>
      <c r="H6" s="7" t="s">
        <v>35</v>
      </c>
      <c r="I6" s="7"/>
      <c r="J6" s="5" t="s">
        <v>18</v>
      </c>
      <c r="K6" s="7" t="s">
        <v>36</v>
      </c>
    </row>
    <row r="7" spans="1:11" ht="51.75" customHeight="1" x14ac:dyDescent="0.25">
      <c r="A7" s="3">
        <v>5</v>
      </c>
      <c r="B7" s="4" t="s">
        <v>37</v>
      </c>
      <c r="C7" s="1" t="s">
        <v>12</v>
      </c>
      <c r="D7" s="1" t="s">
        <v>38</v>
      </c>
      <c r="E7" s="1" t="s">
        <v>32</v>
      </c>
      <c r="F7" s="1" t="s">
        <v>39</v>
      </c>
      <c r="G7" s="1" t="s">
        <v>40</v>
      </c>
      <c r="H7" s="1" t="s">
        <v>41</v>
      </c>
      <c r="I7" s="1"/>
      <c r="J7" s="5" t="s">
        <v>18</v>
      </c>
      <c r="K7" s="1" t="s">
        <v>36</v>
      </c>
    </row>
    <row r="8" spans="1:11" ht="51.75" customHeight="1" x14ac:dyDescent="0.25">
      <c r="A8" s="3">
        <v>6</v>
      </c>
      <c r="B8" s="6" t="s">
        <v>42</v>
      </c>
      <c r="C8" s="7" t="s">
        <v>12</v>
      </c>
      <c r="D8" s="7" t="s">
        <v>43</v>
      </c>
      <c r="E8" s="7" t="s">
        <v>32</v>
      </c>
      <c r="F8" s="7" t="s">
        <v>44</v>
      </c>
      <c r="G8" s="7" t="s">
        <v>45</v>
      </c>
      <c r="H8" s="7" t="s">
        <v>46</v>
      </c>
      <c r="I8" s="7"/>
      <c r="J8" s="8" t="s">
        <v>47</v>
      </c>
      <c r="K8" s="7" t="s">
        <v>48</v>
      </c>
    </row>
    <row r="9" spans="1:11" ht="51.75" customHeight="1" x14ac:dyDescent="0.25">
      <c r="A9" s="3">
        <v>7</v>
      </c>
      <c r="B9" s="4" t="s">
        <v>49</v>
      </c>
      <c r="C9" s="1" t="s">
        <v>12</v>
      </c>
      <c r="D9" s="1" t="s">
        <v>50</v>
      </c>
      <c r="E9" s="1" t="s">
        <v>32</v>
      </c>
      <c r="F9" s="1" t="s">
        <v>51</v>
      </c>
      <c r="G9" s="1" t="s">
        <v>52</v>
      </c>
      <c r="H9" s="1" t="s">
        <v>53</v>
      </c>
      <c r="I9" s="1"/>
      <c r="J9" s="8" t="s">
        <v>47</v>
      </c>
      <c r="K9" s="1" t="s">
        <v>48</v>
      </c>
    </row>
    <row r="10" spans="1:11" ht="39" customHeight="1" x14ac:dyDescent="0.25">
      <c r="A10" s="3">
        <v>8</v>
      </c>
      <c r="B10" s="6" t="s">
        <v>54</v>
      </c>
      <c r="C10" s="7" t="s">
        <v>12</v>
      </c>
      <c r="D10" s="7" t="s">
        <v>55</v>
      </c>
      <c r="E10" s="7" t="s">
        <v>32</v>
      </c>
      <c r="F10" s="7" t="s">
        <v>56</v>
      </c>
      <c r="G10" s="7" t="s">
        <v>57</v>
      </c>
      <c r="H10" s="7" t="s">
        <v>58</v>
      </c>
      <c r="I10" s="7"/>
      <c r="J10" s="5" t="s">
        <v>18</v>
      </c>
      <c r="K10" s="7"/>
    </row>
  </sheetData>
  <autoFilter ref="A1:K9" xr:uid="{00000000-0009-0000-0000-000002000000}"/>
  <mergeCells count="1">
    <mergeCell ref="A1:K1"/>
  </mergeCells>
  <dataValidations count="1">
    <dataValidation type="list" allowBlank="1" sqref="J2:J9" xr:uid="{00000000-0002-0000-02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topLeftCell="E1" zoomScaleNormal="100" workbookViewId="0">
      <pane ySplit="2" topLeftCell="A3" activePane="bottomLeft" state="frozen"/>
      <selection pane="bottomLeft" sqref="A1:K1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689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1.75" customHeight="1" x14ac:dyDescent="0.25">
      <c r="A3" s="3">
        <v>9</v>
      </c>
      <c r="B3" s="4" t="s">
        <v>59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64</v>
      </c>
      <c r="H3" s="1" t="s">
        <v>65</v>
      </c>
      <c r="I3" s="1"/>
      <c r="J3" s="5" t="s">
        <v>18</v>
      </c>
      <c r="K3" s="1"/>
    </row>
    <row r="4" spans="1:11" ht="51.75" customHeight="1" x14ac:dyDescent="0.25">
      <c r="A4" s="3">
        <v>10</v>
      </c>
      <c r="B4" s="6" t="s">
        <v>66</v>
      </c>
      <c r="C4" s="7" t="s">
        <v>60</v>
      </c>
      <c r="D4" s="7" t="s">
        <v>67</v>
      </c>
      <c r="E4" s="7" t="s">
        <v>68</v>
      </c>
      <c r="F4" s="7" t="s">
        <v>69</v>
      </c>
      <c r="G4" s="7" t="s">
        <v>70</v>
      </c>
      <c r="H4" s="7" t="s">
        <v>71</v>
      </c>
      <c r="I4" s="7"/>
      <c r="J4" s="5" t="s">
        <v>18</v>
      </c>
      <c r="K4" s="7"/>
    </row>
    <row r="5" spans="1:11" ht="51.75" customHeight="1" x14ac:dyDescent="0.25">
      <c r="A5" s="3">
        <v>11</v>
      </c>
      <c r="B5" s="4" t="s">
        <v>72</v>
      </c>
      <c r="C5" s="1" t="s">
        <v>60</v>
      </c>
      <c r="D5" s="1" t="s">
        <v>73</v>
      </c>
      <c r="E5" s="1" t="s">
        <v>74</v>
      </c>
      <c r="F5" s="1" t="s">
        <v>75</v>
      </c>
      <c r="G5" s="1" t="s">
        <v>76</v>
      </c>
      <c r="H5" s="1" t="s">
        <v>77</v>
      </c>
      <c r="I5" s="1"/>
      <c r="J5" s="8" t="s">
        <v>47</v>
      </c>
      <c r="K5" s="1" t="s">
        <v>36</v>
      </c>
    </row>
    <row r="6" spans="1:11" ht="39" customHeight="1" x14ac:dyDescent="0.25">
      <c r="A6" s="3">
        <v>12</v>
      </c>
      <c r="B6" s="6" t="s">
        <v>78</v>
      </c>
      <c r="C6" s="7" t="s">
        <v>60</v>
      </c>
      <c r="D6" s="7" t="s">
        <v>79</v>
      </c>
      <c r="E6" s="7" t="s">
        <v>80</v>
      </c>
      <c r="F6" s="7" t="s">
        <v>81</v>
      </c>
      <c r="G6" s="7" t="s">
        <v>82</v>
      </c>
      <c r="H6" s="7" t="s">
        <v>83</v>
      </c>
      <c r="I6" s="7"/>
      <c r="J6" s="8" t="s">
        <v>47</v>
      </c>
      <c r="K6" s="7" t="s">
        <v>36</v>
      </c>
    </row>
  </sheetData>
  <autoFilter ref="A1:K5" xr:uid="{00000000-0009-0000-0000-000003000000}"/>
  <mergeCells count="1">
    <mergeCell ref="A1:K1"/>
  </mergeCells>
  <dataValidations count="1">
    <dataValidation type="list" allowBlank="1" sqref="J2:J5" xr:uid="{00000000-0002-0000-03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"/>
  <sheetViews>
    <sheetView topLeftCell="D1" zoomScaleNormal="100" workbookViewId="0">
      <pane ySplit="2" topLeftCell="A3" activePane="bottomLeft" state="frozen"/>
      <selection pane="bottomLeft" activeCell="I2" sqref="I2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690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1.75" customHeight="1" x14ac:dyDescent="0.25">
      <c r="A3" s="3">
        <v>13</v>
      </c>
      <c r="B3" s="4" t="s">
        <v>84</v>
      </c>
      <c r="C3" s="1" t="s">
        <v>85</v>
      </c>
      <c r="D3" s="1" t="s">
        <v>86</v>
      </c>
      <c r="E3" s="1" t="s">
        <v>87</v>
      </c>
      <c r="F3" s="1" t="s">
        <v>88</v>
      </c>
      <c r="G3" s="1" t="s">
        <v>89</v>
      </c>
      <c r="H3" s="1" t="s">
        <v>90</v>
      </c>
      <c r="I3" s="1"/>
      <c r="J3" s="5" t="s">
        <v>18</v>
      </c>
      <c r="K3" s="1"/>
    </row>
    <row r="4" spans="1:11" ht="51.75" customHeight="1" x14ac:dyDescent="0.25">
      <c r="A4" s="3">
        <v>14</v>
      </c>
      <c r="B4" s="6" t="s">
        <v>91</v>
      </c>
      <c r="C4" s="7" t="s">
        <v>85</v>
      </c>
      <c r="D4" s="7" t="s">
        <v>92</v>
      </c>
      <c r="E4" s="7" t="s">
        <v>93</v>
      </c>
      <c r="F4" s="7" t="s">
        <v>94</v>
      </c>
      <c r="G4" s="7" t="s">
        <v>95</v>
      </c>
      <c r="H4" s="7" t="s">
        <v>96</v>
      </c>
      <c r="I4" s="7"/>
      <c r="J4" s="5" t="s">
        <v>18</v>
      </c>
      <c r="K4" s="7"/>
    </row>
    <row r="5" spans="1:11" ht="51.75" customHeight="1" x14ac:dyDescent="0.25">
      <c r="A5" s="3">
        <v>15</v>
      </c>
      <c r="B5" s="4" t="s">
        <v>97</v>
      </c>
      <c r="C5" s="1" t="s">
        <v>85</v>
      </c>
      <c r="D5" s="1" t="s">
        <v>98</v>
      </c>
      <c r="E5" s="1" t="s">
        <v>93</v>
      </c>
      <c r="F5" s="1" t="s">
        <v>99</v>
      </c>
      <c r="G5" s="1" t="s">
        <v>100</v>
      </c>
      <c r="H5" s="1" t="s">
        <v>101</v>
      </c>
      <c r="I5" s="1"/>
      <c r="J5" s="5" t="s">
        <v>18</v>
      </c>
      <c r="K5" s="1"/>
    </row>
    <row r="6" spans="1:11" ht="51.75" customHeight="1" x14ac:dyDescent="0.25">
      <c r="A6" s="3">
        <v>16</v>
      </c>
      <c r="B6" s="6" t="s">
        <v>102</v>
      </c>
      <c r="C6" s="7" t="s">
        <v>85</v>
      </c>
      <c r="D6" s="7" t="s">
        <v>103</v>
      </c>
      <c r="E6" s="7" t="s">
        <v>93</v>
      </c>
      <c r="F6" s="7" t="s">
        <v>104</v>
      </c>
      <c r="G6" s="7" t="s">
        <v>105</v>
      </c>
      <c r="H6" s="7" t="s">
        <v>106</v>
      </c>
      <c r="I6" s="7"/>
      <c r="J6" s="5" t="s">
        <v>18</v>
      </c>
      <c r="K6" s="7"/>
    </row>
    <row r="7" spans="1:11" ht="51.75" customHeight="1" x14ac:dyDescent="0.25">
      <c r="A7" s="3">
        <v>17</v>
      </c>
      <c r="B7" s="4" t="s">
        <v>107</v>
      </c>
      <c r="C7" s="1" t="s">
        <v>85</v>
      </c>
      <c r="D7" s="1" t="s">
        <v>108</v>
      </c>
      <c r="E7" s="1" t="s">
        <v>93</v>
      </c>
      <c r="F7" s="1" t="s">
        <v>109</v>
      </c>
      <c r="G7" s="1" t="s">
        <v>110</v>
      </c>
      <c r="H7" s="1" t="s">
        <v>111</v>
      </c>
      <c r="I7" s="1"/>
      <c r="J7" s="5" t="s">
        <v>18</v>
      </c>
      <c r="K7" s="1"/>
    </row>
    <row r="8" spans="1:11" ht="26.25" customHeight="1" x14ac:dyDescent="0.25">
      <c r="A8" s="3">
        <v>18</v>
      </c>
      <c r="B8" s="6" t="s">
        <v>112</v>
      </c>
      <c r="C8" s="7" t="s">
        <v>85</v>
      </c>
      <c r="D8" s="7" t="s">
        <v>113</v>
      </c>
      <c r="E8" s="7" t="s">
        <v>114</v>
      </c>
      <c r="F8" s="7" t="s">
        <v>115</v>
      </c>
      <c r="G8" s="7" t="s">
        <v>89</v>
      </c>
      <c r="H8" s="7" t="s">
        <v>116</v>
      </c>
      <c r="I8" s="7"/>
      <c r="J8" s="5" t="s">
        <v>18</v>
      </c>
      <c r="K8" s="7"/>
    </row>
  </sheetData>
  <autoFilter ref="A1:K7" xr:uid="{00000000-0009-0000-0000-000004000000}"/>
  <mergeCells count="1">
    <mergeCell ref="A1:K1"/>
  </mergeCells>
  <dataValidations count="1">
    <dataValidation type="list" allowBlank="1" sqref="J2:J7" xr:uid="{00000000-0002-0000-04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"/>
  <sheetViews>
    <sheetView zoomScaleNormal="100" workbookViewId="0">
      <pane ySplit="2" topLeftCell="A5" activePane="bottomLeft" state="frozen"/>
      <selection pane="bottomLeft" sqref="A1:K1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691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1.75" customHeight="1" x14ac:dyDescent="0.25">
      <c r="A3" s="3">
        <v>19</v>
      </c>
      <c r="B3" s="4" t="s">
        <v>117</v>
      </c>
      <c r="C3" s="1" t="s">
        <v>118</v>
      </c>
      <c r="D3" s="1" t="s">
        <v>119</v>
      </c>
      <c r="E3" s="1" t="s">
        <v>120</v>
      </c>
      <c r="F3" s="1" t="s">
        <v>121</v>
      </c>
      <c r="G3" s="1" t="s">
        <v>122</v>
      </c>
      <c r="H3" s="1" t="s">
        <v>123</v>
      </c>
      <c r="I3" s="1"/>
      <c r="J3" s="5" t="s">
        <v>18</v>
      </c>
      <c r="K3" s="1"/>
    </row>
    <row r="4" spans="1:11" ht="51.75" customHeight="1" x14ac:dyDescent="0.25">
      <c r="A4" s="3">
        <v>20</v>
      </c>
      <c r="B4" s="6" t="s">
        <v>124</v>
      </c>
      <c r="C4" s="7" t="s">
        <v>118</v>
      </c>
      <c r="D4" s="7" t="s">
        <v>125</v>
      </c>
      <c r="E4" s="7" t="s">
        <v>126</v>
      </c>
      <c r="F4" s="7" t="s">
        <v>127</v>
      </c>
      <c r="G4" s="7" t="s">
        <v>128</v>
      </c>
      <c r="H4" s="7" t="s">
        <v>129</v>
      </c>
      <c r="I4" s="7"/>
      <c r="J4" s="5" t="s">
        <v>18</v>
      </c>
      <c r="K4" s="7" t="s">
        <v>36</v>
      </c>
    </row>
    <row r="5" spans="1:11" ht="51.75" customHeight="1" x14ac:dyDescent="0.25">
      <c r="A5" s="3">
        <v>21</v>
      </c>
      <c r="B5" s="4" t="s">
        <v>130</v>
      </c>
      <c r="C5" s="1" t="s">
        <v>118</v>
      </c>
      <c r="D5" s="1" t="s">
        <v>131</v>
      </c>
      <c r="E5" s="1" t="s">
        <v>126</v>
      </c>
      <c r="F5" s="1" t="s">
        <v>132</v>
      </c>
      <c r="G5" s="1" t="s">
        <v>133</v>
      </c>
      <c r="H5" s="1" t="s">
        <v>134</v>
      </c>
      <c r="I5" s="1"/>
      <c r="J5" s="8" t="s">
        <v>47</v>
      </c>
      <c r="K5" s="1" t="s">
        <v>36</v>
      </c>
    </row>
    <row r="6" spans="1:11" ht="51.75" customHeight="1" x14ac:dyDescent="0.25">
      <c r="A6" s="3">
        <v>22</v>
      </c>
      <c r="B6" s="6" t="s">
        <v>135</v>
      </c>
      <c r="C6" s="7" t="s">
        <v>118</v>
      </c>
      <c r="D6" s="7" t="s">
        <v>136</v>
      </c>
      <c r="E6" s="7" t="s">
        <v>126</v>
      </c>
      <c r="F6" s="7" t="s">
        <v>137</v>
      </c>
      <c r="G6" s="7" t="s">
        <v>138</v>
      </c>
      <c r="H6" s="7" t="s">
        <v>139</v>
      </c>
      <c r="I6" s="7"/>
      <c r="J6" s="8" t="s">
        <v>47</v>
      </c>
      <c r="K6" s="7" t="s">
        <v>36</v>
      </c>
    </row>
    <row r="7" spans="1:11" ht="51.75" customHeight="1" x14ac:dyDescent="0.25">
      <c r="A7" s="3">
        <v>23</v>
      </c>
      <c r="B7" s="4" t="s">
        <v>140</v>
      </c>
      <c r="C7" s="1" t="s">
        <v>118</v>
      </c>
      <c r="D7" s="1" t="s">
        <v>141</v>
      </c>
      <c r="E7" s="1" t="s">
        <v>142</v>
      </c>
      <c r="F7" s="1" t="s">
        <v>143</v>
      </c>
      <c r="G7" s="1" t="s">
        <v>144</v>
      </c>
      <c r="H7" s="1" t="s">
        <v>145</v>
      </c>
      <c r="I7" s="1"/>
      <c r="J7" s="5" t="s">
        <v>18</v>
      </c>
      <c r="K7" s="1" t="s">
        <v>146</v>
      </c>
    </row>
    <row r="8" spans="1:11" ht="26.25" customHeight="1" x14ac:dyDescent="0.25">
      <c r="A8" s="3">
        <v>24</v>
      </c>
      <c r="B8" s="6" t="s">
        <v>147</v>
      </c>
      <c r="C8" s="7" t="s">
        <v>118</v>
      </c>
      <c r="D8" s="7" t="s">
        <v>148</v>
      </c>
      <c r="E8" s="7" t="s">
        <v>149</v>
      </c>
      <c r="F8" s="7" t="s">
        <v>150</v>
      </c>
      <c r="G8" s="7" t="s">
        <v>151</v>
      </c>
      <c r="H8" s="7" t="s">
        <v>152</v>
      </c>
      <c r="I8" s="7"/>
      <c r="J8" s="5" t="s">
        <v>18</v>
      </c>
      <c r="K8" s="7" t="s">
        <v>153</v>
      </c>
    </row>
  </sheetData>
  <autoFilter ref="A1:K7" xr:uid="{00000000-0009-0000-0000-000005000000}"/>
  <mergeCells count="1">
    <mergeCell ref="A1:K1"/>
  </mergeCells>
  <dataValidations count="1">
    <dataValidation type="list" allowBlank="1" sqref="J2:J7" xr:uid="{00000000-0002-0000-05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"/>
  <sheetViews>
    <sheetView zoomScaleNormal="100" workbookViewId="0">
      <pane ySplit="2" topLeftCell="A3" activePane="bottomLeft" state="frozen"/>
      <selection pane="bottomLeft" sqref="A1:K1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692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1.75" customHeight="1" x14ac:dyDescent="0.25">
      <c r="A3" s="3">
        <v>25</v>
      </c>
      <c r="B3" s="4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89</v>
      </c>
      <c r="H3" s="1" t="s">
        <v>159</v>
      </c>
      <c r="I3" s="1"/>
      <c r="J3" s="5" t="s">
        <v>18</v>
      </c>
      <c r="K3" s="1"/>
    </row>
    <row r="4" spans="1:11" ht="26.25" customHeight="1" x14ac:dyDescent="0.25">
      <c r="A4" s="3">
        <v>26</v>
      </c>
      <c r="B4" s="6" t="s">
        <v>160</v>
      </c>
      <c r="C4" s="7" t="s">
        <v>155</v>
      </c>
      <c r="D4" s="7" t="s">
        <v>161</v>
      </c>
      <c r="E4" s="7" t="s">
        <v>162</v>
      </c>
      <c r="F4" s="7" t="s">
        <v>163</v>
      </c>
      <c r="G4" s="7" t="s">
        <v>89</v>
      </c>
      <c r="H4" s="7" t="s">
        <v>164</v>
      </c>
      <c r="I4" s="7"/>
      <c r="J4" s="5" t="s">
        <v>18</v>
      </c>
      <c r="K4" s="7" t="s">
        <v>165</v>
      </c>
    </row>
  </sheetData>
  <autoFilter ref="A1:K3" xr:uid="{00000000-0009-0000-0000-000006000000}"/>
  <mergeCells count="1">
    <mergeCell ref="A1:K1"/>
  </mergeCells>
  <dataValidations count="1">
    <dataValidation type="list" allowBlank="1" sqref="J2:J3" xr:uid="{00000000-0002-0000-06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"/>
  <sheetViews>
    <sheetView zoomScaleNormal="100" workbookViewId="0">
      <pane ySplit="2" topLeftCell="A3" activePane="bottomLeft" state="frozen"/>
      <selection pane="bottomLeft" sqref="A1:K1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693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1.75" customHeight="1" x14ac:dyDescent="0.25">
      <c r="A3" s="3">
        <v>27</v>
      </c>
      <c r="B3" s="4" t="s">
        <v>166</v>
      </c>
      <c r="C3" s="1" t="s">
        <v>167</v>
      </c>
      <c r="D3" s="1" t="s">
        <v>168</v>
      </c>
      <c r="E3" s="1" t="s">
        <v>162</v>
      </c>
      <c r="F3" s="1" t="s">
        <v>169</v>
      </c>
      <c r="G3" s="1" t="s">
        <v>170</v>
      </c>
      <c r="H3" s="1" t="s">
        <v>171</v>
      </c>
      <c r="I3" s="1"/>
      <c r="J3" s="5" t="s">
        <v>18</v>
      </c>
      <c r="K3" s="1"/>
    </row>
    <row r="4" spans="1:11" ht="51.75" customHeight="1" x14ac:dyDescent="0.25">
      <c r="A4" s="3">
        <v>28</v>
      </c>
      <c r="B4" s="6" t="s">
        <v>172</v>
      </c>
      <c r="C4" s="7" t="s">
        <v>167</v>
      </c>
      <c r="D4" s="7" t="s">
        <v>173</v>
      </c>
      <c r="E4" s="7" t="s">
        <v>174</v>
      </c>
      <c r="F4" s="7" t="s">
        <v>175</v>
      </c>
      <c r="G4" s="7" t="s">
        <v>176</v>
      </c>
      <c r="H4" s="7" t="s">
        <v>177</v>
      </c>
      <c r="I4" s="7"/>
      <c r="J4" s="8" t="s">
        <v>47</v>
      </c>
      <c r="K4" s="7" t="s">
        <v>36</v>
      </c>
    </row>
    <row r="5" spans="1:11" ht="26.25" customHeight="1" x14ac:dyDescent="0.25">
      <c r="A5" s="3">
        <v>29</v>
      </c>
      <c r="B5" s="4" t="s">
        <v>178</v>
      </c>
      <c r="C5" s="1" t="s">
        <v>167</v>
      </c>
      <c r="D5" s="1" t="s">
        <v>179</v>
      </c>
      <c r="E5" s="1" t="s">
        <v>180</v>
      </c>
      <c r="F5" s="1" t="s">
        <v>181</v>
      </c>
      <c r="G5" s="1" t="s">
        <v>89</v>
      </c>
      <c r="H5" s="1" t="s">
        <v>182</v>
      </c>
      <c r="I5" s="1"/>
      <c r="J5" s="5" t="s">
        <v>18</v>
      </c>
      <c r="K5" s="1"/>
    </row>
  </sheetData>
  <autoFilter ref="A1:K4" xr:uid="{00000000-0009-0000-0000-000007000000}"/>
  <mergeCells count="1">
    <mergeCell ref="A1:K1"/>
  </mergeCells>
  <dataValidations count="1">
    <dataValidation type="list" allowBlank="1" sqref="J2:J4" xr:uid="{00000000-0002-0000-07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8"/>
  <sheetViews>
    <sheetView zoomScaleNormal="100" workbookViewId="0">
      <pane ySplit="2" topLeftCell="A3" activePane="bottomLeft" state="frozen"/>
      <selection pane="bottomLeft" sqref="A1:K1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694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1.75" customHeight="1" x14ac:dyDescent="0.25">
      <c r="A3" s="3">
        <v>30</v>
      </c>
      <c r="B3" s="4" t="s">
        <v>183</v>
      </c>
      <c r="C3" s="1" t="s">
        <v>184</v>
      </c>
      <c r="D3" s="1" t="s">
        <v>185</v>
      </c>
      <c r="E3" s="1" t="s">
        <v>162</v>
      </c>
      <c r="F3" s="1" t="s">
        <v>186</v>
      </c>
      <c r="G3" s="1" t="s">
        <v>187</v>
      </c>
      <c r="H3" s="1" t="s">
        <v>188</v>
      </c>
      <c r="I3" s="1"/>
      <c r="J3" s="5" t="s">
        <v>18</v>
      </c>
      <c r="K3" s="1"/>
    </row>
    <row r="4" spans="1:11" ht="51.75" customHeight="1" x14ac:dyDescent="0.25">
      <c r="A4" s="3">
        <v>31</v>
      </c>
      <c r="B4" s="6" t="s">
        <v>189</v>
      </c>
      <c r="C4" s="7" t="s">
        <v>184</v>
      </c>
      <c r="D4" s="7" t="s">
        <v>190</v>
      </c>
      <c r="E4" s="7" t="s">
        <v>162</v>
      </c>
      <c r="F4" s="7" t="s">
        <v>191</v>
      </c>
      <c r="G4" s="7" t="s">
        <v>89</v>
      </c>
      <c r="H4" s="7" t="s">
        <v>192</v>
      </c>
      <c r="I4" s="7"/>
      <c r="J4" s="5" t="s">
        <v>18</v>
      </c>
      <c r="K4" s="7"/>
    </row>
    <row r="5" spans="1:11" ht="51.75" customHeight="1" x14ac:dyDescent="0.25">
      <c r="A5" s="3">
        <v>32</v>
      </c>
      <c r="B5" s="4" t="s">
        <v>193</v>
      </c>
      <c r="C5" s="1" t="s">
        <v>184</v>
      </c>
      <c r="D5" s="1" t="s">
        <v>194</v>
      </c>
      <c r="E5" s="1" t="s">
        <v>195</v>
      </c>
      <c r="F5" s="1" t="s">
        <v>196</v>
      </c>
      <c r="G5" s="1" t="s">
        <v>197</v>
      </c>
      <c r="H5" s="1" t="s">
        <v>198</v>
      </c>
      <c r="I5" s="1"/>
      <c r="J5" s="5" t="s">
        <v>18</v>
      </c>
      <c r="K5" s="1"/>
    </row>
    <row r="6" spans="1:11" ht="51.75" customHeight="1" x14ac:dyDescent="0.25">
      <c r="A6" s="3">
        <v>33</v>
      </c>
      <c r="B6" s="6" t="s">
        <v>199</v>
      </c>
      <c r="C6" s="7" t="s">
        <v>184</v>
      </c>
      <c r="D6" s="7" t="s">
        <v>200</v>
      </c>
      <c r="E6" s="7" t="s">
        <v>201</v>
      </c>
      <c r="F6" s="7" t="s">
        <v>202</v>
      </c>
      <c r="G6" s="7" t="s">
        <v>203</v>
      </c>
      <c r="H6" s="7" t="s">
        <v>204</v>
      </c>
      <c r="I6" s="7"/>
      <c r="J6" s="5" t="s">
        <v>18</v>
      </c>
      <c r="K6" s="7"/>
    </row>
    <row r="7" spans="1:11" ht="51.75" customHeight="1" x14ac:dyDescent="0.25">
      <c r="A7" s="3">
        <v>34</v>
      </c>
      <c r="B7" s="4" t="s">
        <v>205</v>
      </c>
      <c r="C7" s="1" t="s">
        <v>184</v>
      </c>
      <c r="D7" s="1" t="s">
        <v>206</v>
      </c>
      <c r="E7" s="1" t="s">
        <v>207</v>
      </c>
      <c r="F7" s="1" t="s">
        <v>208</v>
      </c>
      <c r="G7" s="1" t="s">
        <v>89</v>
      </c>
      <c r="H7" s="1" t="s">
        <v>209</v>
      </c>
      <c r="I7" s="1"/>
      <c r="J7" s="5" t="s">
        <v>18</v>
      </c>
      <c r="K7" s="1"/>
    </row>
    <row r="8" spans="1:11" x14ac:dyDescent="0.25">
      <c r="A8" s="3">
        <v>35</v>
      </c>
      <c r="B8" s="6" t="s">
        <v>210</v>
      </c>
      <c r="C8" s="7" t="s">
        <v>184</v>
      </c>
      <c r="D8" s="7" t="s">
        <v>211</v>
      </c>
      <c r="E8" s="7" t="s">
        <v>201</v>
      </c>
      <c r="F8" s="7" t="s">
        <v>212</v>
      </c>
      <c r="G8" s="7" t="s">
        <v>89</v>
      </c>
      <c r="H8" s="7" t="s">
        <v>213</v>
      </c>
      <c r="I8" s="7"/>
      <c r="J8" s="5" t="s">
        <v>18</v>
      </c>
      <c r="K8" s="7"/>
    </row>
  </sheetData>
  <autoFilter ref="A1:K7" xr:uid="{00000000-0009-0000-0000-000008000000}"/>
  <mergeCells count="1">
    <mergeCell ref="A1:K1"/>
  </mergeCells>
  <dataValidations count="1">
    <dataValidation type="list" allowBlank="1" sqref="J2:J7" xr:uid="{00000000-0002-0000-08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2"/>
  <sheetViews>
    <sheetView topLeftCell="D1" zoomScaleNormal="100" workbookViewId="0">
      <pane ySplit="2" topLeftCell="A3" activePane="bottomLeft" state="frozen"/>
      <selection pane="bottomLeft" sqref="A1:K1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695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1.75" customHeight="1" x14ac:dyDescent="0.25">
      <c r="A3" s="3">
        <v>36</v>
      </c>
      <c r="B3" s="4" t="s">
        <v>214</v>
      </c>
      <c r="C3" s="1" t="s">
        <v>215</v>
      </c>
      <c r="D3" s="1" t="s">
        <v>216</v>
      </c>
      <c r="E3" s="1" t="s">
        <v>217</v>
      </c>
      <c r="F3" s="1" t="s">
        <v>218</v>
      </c>
      <c r="G3" s="1" t="s">
        <v>89</v>
      </c>
      <c r="H3" s="1" t="s">
        <v>219</v>
      </c>
      <c r="I3" s="1"/>
      <c r="J3" s="5" t="s">
        <v>18</v>
      </c>
      <c r="K3" s="1"/>
    </row>
    <row r="4" spans="1:11" ht="51.75" customHeight="1" x14ac:dyDescent="0.25">
      <c r="A4" s="3">
        <v>37</v>
      </c>
      <c r="B4" s="6" t="s">
        <v>220</v>
      </c>
      <c r="C4" s="7" t="s">
        <v>215</v>
      </c>
      <c r="D4" s="7" t="s">
        <v>221</v>
      </c>
      <c r="E4" s="7" t="s">
        <v>222</v>
      </c>
      <c r="F4" s="7" t="s">
        <v>223</v>
      </c>
      <c r="G4" s="7" t="s">
        <v>224</v>
      </c>
      <c r="H4" s="7" t="s">
        <v>225</v>
      </c>
      <c r="I4" s="7"/>
      <c r="J4" s="5" t="s">
        <v>18</v>
      </c>
      <c r="K4" s="7"/>
    </row>
    <row r="5" spans="1:11" ht="51.75" customHeight="1" x14ac:dyDescent="0.25">
      <c r="A5" s="3">
        <v>38</v>
      </c>
      <c r="B5" s="4" t="s">
        <v>226</v>
      </c>
      <c r="C5" s="1" t="s">
        <v>215</v>
      </c>
      <c r="D5" s="1" t="s">
        <v>227</v>
      </c>
      <c r="E5" s="1" t="s">
        <v>222</v>
      </c>
      <c r="F5" s="1" t="s">
        <v>228</v>
      </c>
      <c r="G5" s="1" t="s">
        <v>229</v>
      </c>
      <c r="H5" s="1" t="s">
        <v>230</v>
      </c>
      <c r="I5" s="1"/>
      <c r="J5" s="8" t="s">
        <v>47</v>
      </c>
      <c r="K5" s="1" t="s">
        <v>231</v>
      </c>
    </row>
    <row r="6" spans="1:11" ht="51.75" customHeight="1" x14ac:dyDescent="0.25">
      <c r="A6" s="3">
        <v>39</v>
      </c>
      <c r="B6" s="6" t="s">
        <v>232</v>
      </c>
      <c r="C6" s="7" t="s">
        <v>215</v>
      </c>
      <c r="D6" s="7" t="s">
        <v>233</v>
      </c>
      <c r="E6" s="7" t="s">
        <v>217</v>
      </c>
      <c r="F6" s="7" t="s">
        <v>234</v>
      </c>
      <c r="G6" s="7" t="s">
        <v>235</v>
      </c>
      <c r="H6" s="7" t="s">
        <v>236</v>
      </c>
      <c r="I6" s="7"/>
      <c r="J6" s="5" t="s">
        <v>18</v>
      </c>
      <c r="K6" s="7"/>
    </row>
    <row r="7" spans="1:11" ht="51.75" customHeight="1" x14ac:dyDescent="0.25">
      <c r="A7" s="3">
        <v>40</v>
      </c>
      <c r="B7" s="4" t="s">
        <v>237</v>
      </c>
      <c r="C7" s="1" t="s">
        <v>215</v>
      </c>
      <c r="D7" s="1" t="s">
        <v>238</v>
      </c>
      <c r="E7" s="1" t="s">
        <v>239</v>
      </c>
      <c r="F7" s="1" t="s">
        <v>240</v>
      </c>
      <c r="G7" s="1" t="s">
        <v>241</v>
      </c>
      <c r="H7" s="1" t="s">
        <v>242</v>
      </c>
      <c r="I7" s="1"/>
      <c r="J7" s="8" t="s">
        <v>47</v>
      </c>
      <c r="K7" s="1" t="s">
        <v>36</v>
      </c>
    </row>
    <row r="8" spans="1:11" ht="51.75" customHeight="1" x14ac:dyDescent="0.25">
      <c r="A8" s="3">
        <v>41</v>
      </c>
      <c r="B8" s="6" t="s">
        <v>243</v>
      </c>
      <c r="C8" s="7" t="s">
        <v>215</v>
      </c>
      <c r="D8" s="7" t="s">
        <v>244</v>
      </c>
      <c r="E8" s="7" t="s">
        <v>245</v>
      </c>
      <c r="F8" s="7" t="s">
        <v>246</v>
      </c>
      <c r="G8" s="7" t="s">
        <v>247</v>
      </c>
      <c r="H8" s="7" t="s">
        <v>248</v>
      </c>
      <c r="I8" s="7"/>
      <c r="J8" s="5" t="s">
        <v>18</v>
      </c>
      <c r="K8" s="7"/>
    </row>
    <row r="9" spans="1:11" ht="51.75" customHeight="1" x14ac:dyDescent="0.25">
      <c r="A9" s="3">
        <v>42</v>
      </c>
      <c r="B9" s="4" t="s">
        <v>249</v>
      </c>
      <c r="C9" s="1" t="s">
        <v>215</v>
      </c>
      <c r="D9" s="1" t="s">
        <v>250</v>
      </c>
      <c r="E9" s="1" t="s">
        <v>251</v>
      </c>
      <c r="F9" s="1" t="s">
        <v>252</v>
      </c>
      <c r="G9" s="1" t="s">
        <v>253</v>
      </c>
      <c r="H9" s="1" t="s">
        <v>254</v>
      </c>
      <c r="I9" s="1"/>
      <c r="J9" s="5" t="s">
        <v>18</v>
      </c>
      <c r="K9" s="1"/>
    </row>
    <row r="10" spans="1:11" ht="51.75" customHeight="1" x14ac:dyDescent="0.25">
      <c r="A10" s="3">
        <v>43</v>
      </c>
      <c r="B10" s="6" t="s">
        <v>255</v>
      </c>
      <c r="C10" s="7" t="s">
        <v>215</v>
      </c>
      <c r="D10" s="7" t="s">
        <v>256</v>
      </c>
      <c r="E10" s="7" t="s">
        <v>222</v>
      </c>
      <c r="F10" s="7" t="s">
        <v>257</v>
      </c>
      <c r="G10" s="7" t="s">
        <v>89</v>
      </c>
      <c r="H10" s="7" t="s">
        <v>258</v>
      </c>
      <c r="I10" s="7"/>
      <c r="J10" s="5" t="s">
        <v>18</v>
      </c>
      <c r="K10" s="7"/>
    </row>
    <row r="11" spans="1:11" ht="51.75" customHeight="1" x14ac:dyDescent="0.25">
      <c r="A11" s="3">
        <v>44</v>
      </c>
      <c r="B11" s="4" t="s">
        <v>259</v>
      </c>
      <c r="C11" s="1" t="s">
        <v>215</v>
      </c>
      <c r="D11" s="1" t="s">
        <v>260</v>
      </c>
      <c r="E11" s="1" t="s">
        <v>222</v>
      </c>
      <c r="F11" s="1" t="s">
        <v>261</v>
      </c>
      <c r="G11" s="1" t="s">
        <v>89</v>
      </c>
      <c r="H11" s="1" t="s">
        <v>262</v>
      </c>
      <c r="I11" s="1"/>
      <c r="J11" s="5" t="s">
        <v>18</v>
      </c>
      <c r="K11" s="1"/>
    </row>
    <row r="12" spans="1:11" ht="26.25" customHeight="1" x14ac:dyDescent="0.25">
      <c r="A12" s="3">
        <v>45</v>
      </c>
      <c r="B12" s="6" t="s">
        <v>263</v>
      </c>
      <c r="C12" s="7" t="s">
        <v>215</v>
      </c>
      <c r="D12" s="7" t="s">
        <v>264</v>
      </c>
      <c r="E12" s="7" t="s">
        <v>265</v>
      </c>
      <c r="F12" s="7" t="s">
        <v>266</v>
      </c>
      <c r="G12" s="7" t="s">
        <v>267</v>
      </c>
      <c r="H12" s="7" t="s">
        <v>268</v>
      </c>
      <c r="I12" s="7"/>
      <c r="J12" s="5" t="s">
        <v>18</v>
      </c>
      <c r="K12" s="7" t="s">
        <v>269</v>
      </c>
    </row>
  </sheetData>
  <autoFilter ref="A1:K11" xr:uid="{00000000-0009-0000-0000-000009000000}"/>
  <mergeCells count="1">
    <mergeCell ref="A1:K1"/>
  </mergeCells>
  <dataValidations count="1">
    <dataValidation type="list" allowBlank="1" sqref="J2:J11" xr:uid="{00000000-0002-0000-09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9"/>
  <sheetViews>
    <sheetView zoomScaleNormal="100" workbookViewId="0">
      <pane ySplit="2" topLeftCell="A3" activePane="bottomLeft" state="frozen"/>
      <selection pane="bottomLeft" sqref="A1:K1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696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1.75" customHeight="1" x14ac:dyDescent="0.25">
      <c r="A3" s="3">
        <v>46</v>
      </c>
      <c r="B3" s="4" t="s">
        <v>270</v>
      </c>
      <c r="C3" s="1" t="s">
        <v>271</v>
      </c>
      <c r="D3" s="1" t="s">
        <v>272</v>
      </c>
      <c r="E3" s="1" t="s">
        <v>12</v>
      </c>
      <c r="F3" s="1" t="s">
        <v>273</v>
      </c>
      <c r="G3" s="1" t="s">
        <v>89</v>
      </c>
      <c r="H3" s="1" t="s">
        <v>274</v>
      </c>
      <c r="I3" s="1"/>
      <c r="J3" s="5" t="s">
        <v>18</v>
      </c>
      <c r="K3" s="1"/>
    </row>
    <row r="4" spans="1:11" ht="51.75" customHeight="1" x14ac:dyDescent="0.25">
      <c r="A4" s="3">
        <v>47</v>
      </c>
      <c r="B4" s="6" t="s">
        <v>275</v>
      </c>
      <c r="C4" s="7" t="s">
        <v>271</v>
      </c>
      <c r="D4" s="7" t="s">
        <v>276</v>
      </c>
      <c r="E4" s="7" t="s">
        <v>277</v>
      </c>
      <c r="F4" s="7" t="s">
        <v>278</v>
      </c>
      <c r="G4" s="7" t="s">
        <v>279</v>
      </c>
      <c r="H4" s="7" t="s">
        <v>280</v>
      </c>
      <c r="I4" s="7"/>
      <c r="J4" s="5" t="s">
        <v>18</v>
      </c>
      <c r="K4" s="7"/>
    </row>
    <row r="5" spans="1:11" ht="51.75" customHeight="1" x14ac:dyDescent="0.25">
      <c r="A5" s="3">
        <v>48</v>
      </c>
      <c r="B5" s="4" t="s">
        <v>281</v>
      </c>
      <c r="C5" s="1" t="s">
        <v>271</v>
      </c>
      <c r="D5" s="1" t="s">
        <v>282</v>
      </c>
      <c r="E5" s="1" t="s">
        <v>283</v>
      </c>
      <c r="F5" s="1" t="s">
        <v>284</v>
      </c>
      <c r="G5" s="1" t="s">
        <v>105</v>
      </c>
      <c r="H5" s="1" t="s">
        <v>285</v>
      </c>
      <c r="I5" s="1"/>
      <c r="J5" s="5" t="s">
        <v>18</v>
      </c>
      <c r="K5" s="1"/>
    </row>
    <row r="6" spans="1:11" ht="51.75" customHeight="1" x14ac:dyDescent="0.25">
      <c r="A6" s="3">
        <v>49</v>
      </c>
      <c r="B6" s="6" t="s">
        <v>286</v>
      </c>
      <c r="C6" s="7" t="s">
        <v>271</v>
      </c>
      <c r="D6" s="7" t="s">
        <v>287</v>
      </c>
      <c r="E6" s="7" t="s">
        <v>288</v>
      </c>
      <c r="F6" s="7" t="s">
        <v>289</v>
      </c>
      <c r="G6" s="7" t="s">
        <v>290</v>
      </c>
      <c r="H6" s="7" t="s">
        <v>291</v>
      </c>
      <c r="I6" s="7"/>
      <c r="J6" s="5" t="s">
        <v>18</v>
      </c>
      <c r="K6" s="7"/>
    </row>
    <row r="7" spans="1:11" ht="51.75" customHeight="1" x14ac:dyDescent="0.25">
      <c r="A7" s="3">
        <v>50</v>
      </c>
      <c r="B7" s="4" t="s">
        <v>292</v>
      </c>
      <c r="C7" s="1" t="s">
        <v>271</v>
      </c>
      <c r="D7" s="1" t="s">
        <v>293</v>
      </c>
      <c r="E7" s="1" t="s">
        <v>277</v>
      </c>
      <c r="F7" s="1" t="s">
        <v>294</v>
      </c>
      <c r="G7" s="1" t="s">
        <v>295</v>
      </c>
      <c r="H7" s="1" t="s">
        <v>296</v>
      </c>
      <c r="I7" s="1"/>
      <c r="J7" s="5" t="s">
        <v>18</v>
      </c>
      <c r="K7" s="1"/>
    </row>
    <row r="8" spans="1:11" ht="51.75" customHeight="1" x14ac:dyDescent="0.25">
      <c r="A8" s="3">
        <v>51</v>
      </c>
      <c r="B8" s="6" t="s">
        <v>297</v>
      </c>
      <c r="C8" s="7" t="s">
        <v>271</v>
      </c>
      <c r="D8" s="7" t="s">
        <v>298</v>
      </c>
      <c r="E8" s="7" t="s">
        <v>299</v>
      </c>
      <c r="F8" s="7" t="s">
        <v>300</v>
      </c>
      <c r="G8" s="7" t="s">
        <v>267</v>
      </c>
      <c r="H8" s="7" t="s">
        <v>301</v>
      </c>
      <c r="I8" s="7"/>
      <c r="J8" s="5" t="s">
        <v>18</v>
      </c>
      <c r="K8" s="7" t="s">
        <v>269</v>
      </c>
    </row>
    <row r="9" spans="1:11" x14ac:dyDescent="0.25">
      <c r="A9" s="3">
        <v>52</v>
      </c>
      <c r="B9" s="4" t="s">
        <v>302</v>
      </c>
      <c r="C9" s="1" t="s">
        <v>271</v>
      </c>
      <c r="D9" s="1" t="s">
        <v>303</v>
      </c>
      <c r="E9" s="1" t="s">
        <v>277</v>
      </c>
      <c r="F9" s="1" t="s">
        <v>261</v>
      </c>
      <c r="G9" s="1" t="s">
        <v>89</v>
      </c>
      <c r="H9" s="1" t="s">
        <v>304</v>
      </c>
      <c r="I9" s="1"/>
      <c r="J9" s="5" t="s">
        <v>18</v>
      </c>
      <c r="K9" s="1"/>
    </row>
  </sheetData>
  <autoFilter ref="A1:K8" xr:uid="{00000000-0009-0000-0000-00000A000000}"/>
  <mergeCells count="1">
    <mergeCell ref="A1:K1"/>
  </mergeCells>
  <dataValidations count="1">
    <dataValidation type="list" allowBlank="1" sqref="J2:J8" xr:uid="{00000000-0002-0000-0A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9"/>
  <sheetViews>
    <sheetView zoomScaleNormal="100" workbookViewId="0">
      <pane ySplit="2" topLeftCell="A3" activePane="bottomLeft" state="frozen"/>
      <selection pane="bottomLeft" sqref="A1:K1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697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1.75" customHeight="1" x14ac:dyDescent="0.25">
      <c r="A3" s="3">
        <v>53</v>
      </c>
      <c r="B3" s="4" t="s">
        <v>305</v>
      </c>
      <c r="C3" s="1" t="s">
        <v>306</v>
      </c>
      <c r="D3" s="1" t="s">
        <v>307</v>
      </c>
      <c r="E3" s="1" t="s">
        <v>12</v>
      </c>
      <c r="F3" s="1" t="s">
        <v>308</v>
      </c>
      <c r="G3" s="1" t="s">
        <v>89</v>
      </c>
      <c r="H3" s="1" t="s">
        <v>309</v>
      </c>
      <c r="I3" s="1"/>
      <c r="J3" s="5" t="s">
        <v>18</v>
      </c>
      <c r="K3" s="1"/>
    </row>
    <row r="4" spans="1:11" ht="51.75" customHeight="1" x14ac:dyDescent="0.25">
      <c r="A4" s="3">
        <v>54</v>
      </c>
      <c r="B4" s="6" t="s">
        <v>310</v>
      </c>
      <c r="C4" s="7" t="s">
        <v>306</v>
      </c>
      <c r="D4" s="7" t="s">
        <v>311</v>
      </c>
      <c r="E4" s="7" t="s">
        <v>312</v>
      </c>
      <c r="F4" s="7" t="s">
        <v>313</v>
      </c>
      <c r="G4" s="7" t="s">
        <v>314</v>
      </c>
      <c r="H4" s="7" t="s">
        <v>315</v>
      </c>
      <c r="I4" s="7"/>
      <c r="J4" s="5" t="s">
        <v>18</v>
      </c>
      <c r="K4" s="7"/>
    </row>
    <row r="5" spans="1:11" ht="51.75" customHeight="1" x14ac:dyDescent="0.25">
      <c r="A5" s="3">
        <v>55</v>
      </c>
      <c r="B5" s="4" t="s">
        <v>316</v>
      </c>
      <c r="C5" s="1" t="s">
        <v>306</v>
      </c>
      <c r="D5" s="1" t="s">
        <v>317</v>
      </c>
      <c r="E5" s="1" t="s">
        <v>312</v>
      </c>
      <c r="F5" s="1" t="s">
        <v>318</v>
      </c>
      <c r="G5" s="1" t="s">
        <v>319</v>
      </c>
      <c r="H5" s="1" t="s">
        <v>320</v>
      </c>
      <c r="I5" s="1"/>
      <c r="J5" s="5" t="s">
        <v>18</v>
      </c>
      <c r="K5" s="1"/>
    </row>
    <row r="6" spans="1:11" ht="51.75" customHeight="1" x14ac:dyDescent="0.25">
      <c r="A6" s="3">
        <v>56</v>
      </c>
      <c r="B6" s="6" t="s">
        <v>321</v>
      </c>
      <c r="C6" s="7" t="s">
        <v>306</v>
      </c>
      <c r="D6" s="7" t="s">
        <v>322</v>
      </c>
      <c r="E6" s="7" t="s">
        <v>323</v>
      </c>
      <c r="F6" s="7" t="s">
        <v>324</v>
      </c>
      <c r="G6" s="7" t="s">
        <v>89</v>
      </c>
      <c r="H6" s="7" t="s">
        <v>325</v>
      </c>
      <c r="I6" s="7"/>
      <c r="J6" s="5" t="s">
        <v>18</v>
      </c>
      <c r="K6" s="7"/>
    </row>
    <row r="7" spans="1:11" ht="51.75" customHeight="1" x14ac:dyDescent="0.25">
      <c r="A7" s="3">
        <v>57</v>
      </c>
      <c r="B7" s="4" t="s">
        <v>326</v>
      </c>
      <c r="C7" s="1" t="s">
        <v>306</v>
      </c>
      <c r="D7" s="1" t="s">
        <v>327</v>
      </c>
      <c r="E7" s="1" t="s">
        <v>328</v>
      </c>
      <c r="F7" s="1" t="s">
        <v>329</v>
      </c>
      <c r="G7" s="1" t="s">
        <v>89</v>
      </c>
      <c r="H7" s="1" t="s">
        <v>330</v>
      </c>
      <c r="I7" s="1"/>
      <c r="J7" s="5" t="s">
        <v>18</v>
      </c>
      <c r="K7" s="1"/>
    </row>
    <row r="8" spans="1:11" ht="51.75" customHeight="1" x14ac:dyDescent="0.25">
      <c r="A8" s="3">
        <v>58</v>
      </c>
      <c r="B8" s="6" t="s">
        <v>331</v>
      </c>
      <c r="C8" s="7" t="s">
        <v>306</v>
      </c>
      <c r="D8" s="7" t="s">
        <v>332</v>
      </c>
      <c r="E8" s="7" t="s">
        <v>333</v>
      </c>
      <c r="F8" s="7" t="s">
        <v>334</v>
      </c>
      <c r="G8" s="7" t="s">
        <v>89</v>
      </c>
      <c r="H8" s="7" t="s">
        <v>335</v>
      </c>
      <c r="I8" s="7"/>
      <c r="J8" s="5" t="s">
        <v>18</v>
      </c>
      <c r="K8" s="7"/>
    </row>
    <row r="9" spans="1:11" x14ac:dyDescent="0.25">
      <c r="A9" s="3">
        <v>59</v>
      </c>
      <c r="B9" s="4" t="s">
        <v>336</v>
      </c>
      <c r="C9" s="1" t="s">
        <v>306</v>
      </c>
      <c r="D9" s="1" t="s">
        <v>337</v>
      </c>
      <c r="E9" s="1" t="s">
        <v>312</v>
      </c>
      <c r="F9" s="1" t="s">
        <v>338</v>
      </c>
      <c r="G9" s="1" t="s">
        <v>89</v>
      </c>
      <c r="H9" s="1" t="s">
        <v>339</v>
      </c>
      <c r="I9" s="1"/>
      <c r="J9" s="5" t="s">
        <v>18</v>
      </c>
      <c r="K9" s="1"/>
    </row>
  </sheetData>
  <autoFilter ref="A1:K8" xr:uid="{00000000-0009-0000-0000-00000B000000}"/>
  <mergeCells count="1">
    <mergeCell ref="A1:K1"/>
  </mergeCells>
  <dataValidations count="1">
    <dataValidation type="list" allowBlank="1" sqref="J2:J8" xr:uid="{00000000-0002-0000-0B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7"/>
  <sheetViews>
    <sheetView zoomScaleNormal="100" workbookViewId="0">
      <pane ySplit="2" topLeftCell="A3" activePane="bottomLeft" state="frozen"/>
      <selection pane="bottomLeft" sqref="A1:K1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698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1.75" customHeight="1" x14ac:dyDescent="0.25">
      <c r="A3" s="3">
        <v>60</v>
      </c>
      <c r="B3" s="4" t="s">
        <v>340</v>
      </c>
      <c r="C3" s="1" t="s">
        <v>341</v>
      </c>
      <c r="D3" s="1" t="s">
        <v>342</v>
      </c>
      <c r="E3" s="1" t="s">
        <v>12</v>
      </c>
      <c r="F3" s="1" t="s">
        <v>343</v>
      </c>
      <c r="G3" s="1" t="s">
        <v>89</v>
      </c>
      <c r="H3" s="1" t="s">
        <v>344</v>
      </c>
      <c r="I3" s="1"/>
      <c r="J3" s="5" t="s">
        <v>18</v>
      </c>
      <c r="K3" s="1"/>
    </row>
    <row r="4" spans="1:11" ht="51.75" customHeight="1" x14ac:dyDescent="0.25">
      <c r="A4" s="3">
        <v>61</v>
      </c>
      <c r="B4" s="6" t="s">
        <v>345</v>
      </c>
      <c r="C4" s="7" t="s">
        <v>341</v>
      </c>
      <c r="D4" s="7" t="s">
        <v>346</v>
      </c>
      <c r="E4" s="7" t="s">
        <v>347</v>
      </c>
      <c r="F4" s="7" t="s">
        <v>348</v>
      </c>
      <c r="G4" s="7" t="s">
        <v>349</v>
      </c>
      <c r="H4" s="7" t="s">
        <v>315</v>
      </c>
      <c r="I4" s="7"/>
      <c r="J4" s="5" t="s">
        <v>18</v>
      </c>
      <c r="K4" s="7"/>
    </row>
    <row r="5" spans="1:11" ht="51.75" customHeight="1" x14ac:dyDescent="0.25">
      <c r="A5" s="3">
        <v>62</v>
      </c>
      <c r="B5" s="4" t="s">
        <v>350</v>
      </c>
      <c r="C5" s="1" t="s">
        <v>341</v>
      </c>
      <c r="D5" s="1" t="s">
        <v>351</v>
      </c>
      <c r="E5" s="1" t="s">
        <v>352</v>
      </c>
      <c r="F5" s="1" t="s">
        <v>324</v>
      </c>
      <c r="G5" s="1" t="s">
        <v>89</v>
      </c>
      <c r="H5" s="1" t="s">
        <v>353</v>
      </c>
      <c r="I5" s="1"/>
      <c r="J5" s="5" t="s">
        <v>18</v>
      </c>
      <c r="K5" s="1"/>
    </row>
    <row r="6" spans="1:11" ht="51.75" customHeight="1" x14ac:dyDescent="0.25">
      <c r="A6" s="3">
        <v>63</v>
      </c>
      <c r="B6" s="6" t="s">
        <v>354</v>
      </c>
      <c r="C6" s="7" t="s">
        <v>341</v>
      </c>
      <c r="D6" s="7" t="s">
        <v>355</v>
      </c>
      <c r="E6" s="7" t="s">
        <v>356</v>
      </c>
      <c r="F6" s="7" t="s">
        <v>257</v>
      </c>
      <c r="G6" s="7" t="s">
        <v>89</v>
      </c>
      <c r="H6" s="7" t="s">
        <v>357</v>
      </c>
      <c r="I6" s="7"/>
      <c r="J6" s="5" t="s">
        <v>18</v>
      </c>
      <c r="K6" s="7"/>
    </row>
    <row r="7" spans="1:11" x14ac:dyDescent="0.25">
      <c r="A7" s="3">
        <v>64</v>
      </c>
      <c r="B7" s="4" t="s">
        <v>358</v>
      </c>
      <c r="C7" s="1" t="s">
        <v>341</v>
      </c>
      <c r="D7" s="1" t="s">
        <v>359</v>
      </c>
      <c r="E7" s="1" t="s">
        <v>347</v>
      </c>
      <c r="F7" s="1" t="s">
        <v>261</v>
      </c>
      <c r="G7" s="1" t="s">
        <v>89</v>
      </c>
      <c r="H7" s="1" t="s">
        <v>360</v>
      </c>
      <c r="I7" s="1"/>
      <c r="J7" s="5" t="s">
        <v>18</v>
      </c>
      <c r="K7" s="1"/>
    </row>
  </sheetData>
  <autoFilter ref="A1:K6" xr:uid="{00000000-0009-0000-0000-00000C000000}"/>
  <mergeCells count="1">
    <mergeCell ref="A1:K1"/>
  </mergeCells>
  <dataValidations count="1">
    <dataValidation type="list" allowBlank="1" sqref="J2:J6" xr:uid="{00000000-0002-0000-0C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1"/>
  <sheetViews>
    <sheetView zoomScaleNormal="100" workbookViewId="0">
      <pane ySplit="2" topLeftCell="A3" activePane="bottomLeft" state="frozen"/>
      <selection pane="bottomLeft" sqref="A1:K1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699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1.75" customHeight="1" x14ac:dyDescent="0.25">
      <c r="A3" s="3">
        <v>65</v>
      </c>
      <c r="B3" s="4" t="s">
        <v>361</v>
      </c>
      <c r="C3" s="1" t="s">
        <v>362</v>
      </c>
      <c r="D3" s="1" t="s">
        <v>363</v>
      </c>
      <c r="E3" s="1" t="s">
        <v>12</v>
      </c>
      <c r="F3" s="1" t="s">
        <v>364</v>
      </c>
      <c r="G3" s="1" t="s">
        <v>89</v>
      </c>
      <c r="H3" s="1" t="s">
        <v>365</v>
      </c>
      <c r="I3" s="1"/>
      <c r="J3" s="5" t="s">
        <v>18</v>
      </c>
      <c r="K3" s="1"/>
    </row>
    <row r="4" spans="1:11" ht="51.75" customHeight="1" x14ac:dyDescent="0.25">
      <c r="A4" s="3">
        <v>66</v>
      </c>
      <c r="B4" s="6" t="s">
        <v>366</v>
      </c>
      <c r="C4" s="7" t="s">
        <v>362</v>
      </c>
      <c r="D4" s="7" t="s">
        <v>367</v>
      </c>
      <c r="E4" s="7" t="s">
        <v>368</v>
      </c>
      <c r="F4" s="7" t="s">
        <v>369</v>
      </c>
      <c r="G4" s="7" t="s">
        <v>370</v>
      </c>
      <c r="H4" s="7" t="s">
        <v>371</v>
      </c>
      <c r="I4" s="7"/>
      <c r="J4" s="5" t="s">
        <v>18</v>
      </c>
      <c r="K4" s="7"/>
    </row>
    <row r="5" spans="1:11" ht="51.75" customHeight="1" x14ac:dyDescent="0.25">
      <c r="A5" s="3">
        <v>67</v>
      </c>
      <c r="B5" s="4" t="s">
        <v>372</v>
      </c>
      <c r="C5" s="1" t="s">
        <v>362</v>
      </c>
      <c r="D5" s="1" t="s">
        <v>373</v>
      </c>
      <c r="E5" s="1" t="s">
        <v>368</v>
      </c>
      <c r="F5" s="1" t="s">
        <v>234</v>
      </c>
      <c r="G5" s="1" t="s">
        <v>374</v>
      </c>
      <c r="H5" s="1" t="s">
        <v>375</v>
      </c>
      <c r="I5" s="1"/>
      <c r="J5" s="5" t="s">
        <v>18</v>
      </c>
      <c r="K5" s="1"/>
    </row>
    <row r="6" spans="1:11" ht="51.75" customHeight="1" x14ac:dyDescent="0.25">
      <c r="A6" s="3">
        <v>68</v>
      </c>
      <c r="B6" s="6" t="s">
        <v>376</v>
      </c>
      <c r="C6" s="7" t="s">
        <v>362</v>
      </c>
      <c r="D6" s="7" t="s">
        <v>377</v>
      </c>
      <c r="E6" s="7" t="s">
        <v>378</v>
      </c>
      <c r="F6" s="7" t="s">
        <v>379</v>
      </c>
      <c r="G6" s="7" t="s">
        <v>380</v>
      </c>
      <c r="H6" s="7" t="s">
        <v>381</v>
      </c>
      <c r="I6" s="7"/>
      <c r="J6" s="8" t="s">
        <v>47</v>
      </c>
      <c r="K6" s="7" t="s">
        <v>36</v>
      </c>
    </row>
    <row r="7" spans="1:11" ht="51.75" customHeight="1" x14ac:dyDescent="0.25">
      <c r="A7" s="3">
        <v>69</v>
      </c>
      <c r="B7" s="4" t="s">
        <v>382</v>
      </c>
      <c r="C7" s="1" t="s">
        <v>362</v>
      </c>
      <c r="D7" s="1" t="s">
        <v>383</v>
      </c>
      <c r="E7" s="1" t="s">
        <v>384</v>
      </c>
      <c r="F7" s="1" t="s">
        <v>385</v>
      </c>
      <c r="G7" s="1" t="s">
        <v>386</v>
      </c>
      <c r="H7" s="1" t="s">
        <v>387</v>
      </c>
      <c r="I7" s="1"/>
      <c r="J7" s="5" t="s">
        <v>18</v>
      </c>
      <c r="K7" s="1"/>
    </row>
    <row r="8" spans="1:11" ht="51.75" customHeight="1" x14ac:dyDescent="0.25">
      <c r="A8" s="3">
        <v>70</v>
      </c>
      <c r="B8" s="6" t="s">
        <v>388</v>
      </c>
      <c r="C8" s="7" t="s">
        <v>362</v>
      </c>
      <c r="D8" s="7" t="s">
        <v>389</v>
      </c>
      <c r="E8" s="7" t="s">
        <v>390</v>
      </c>
      <c r="F8" s="7" t="s">
        <v>252</v>
      </c>
      <c r="G8" s="7" t="s">
        <v>89</v>
      </c>
      <c r="H8" s="7" t="s">
        <v>391</v>
      </c>
      <c r="I8" s="7"/>
      <c r="J8" s="5" t="s">
        <v>18</v>
      </c>
      <c r="K8" s="7"/>
    </row>
    <row r="9" spans="1:11" ht="51.75" customHeight="1" x14ac:dyDescent="0.25">
      <c r="A9" s="3">
        <v>71</v>
      </c>
      <c r="B9" s="4" t="s">
        <v>392</v>
      </c>
      <c r="C9" s="1" t="s">
        <v>362</v>
      </c>
      <c r="D9" s="1" t="s">
        <v>393</v>
      </c>
      <c r="E9" s="1" t="s">
        <v>368</v>
      </c>
      <c r="F9" s="1" t="s">
        <v>257</v>
      </c>
      <c r="G9" s="1" t="s">
        <v>89</v>
      </c>
      <c r="H9" s="1" t="s">
        <v>394</v>
      </c>
      <c r="I9" s="1"/>
      <c r="J9" s="5" t="s">
        <v>18</v>
      </c>
      <c r="K9" s="1"/>
    </row>
    <row r="10" spans="1:11" ht="51.75" customHeight="1" x14ac:dyDescent="0.25">
      <c r="A10" s="3">
        <v>72</v>
      </c>
      <c r="B10" s="6" t="s">
        <v>395</v>
      </c>
      <c r="C10" s="7" t="s">
        <v>362</v>
      </c>
      <c r="D10" s="7" t="s">
        <v>396</v>
      </c>
      <c r="E10" s="7" t="s">
        <v>368</v>
      </c>
      <c r="F10" s="7" t="s">
        <v>261</v>
      </c>
      <c r="G10" s="7" t="s">
        <v>89</v>
      </c>
      <c r="H10" s="7" t="s">
        <v>397</v>
      </c>
      <c r="I10" s="7"/>
      <c r="J10" s="5" t="s">
        <v>18</v>
      </c>
      <c r="K10" s="7"/>
    </row>
    <row r="11" spans="1:11" x14ac:dyDescent="0.25">
      <c r="A11" s="3">
        <v>73</v>
      </c>
      <c r="B11" s="4" t="s">
        <v>398</v>
      </c>
      <c r="C11" s="1" t="s">
        <v>362</v>
      </c>
      <c r="D11" s="1" t="s">
        <v>399</v>
      </c>
      <c r="E11" s="1" t="s">
        <v>299</v>
      </c>
      <c r="F11" s="1" t="s">
        <v>400</v>
      </c>
      <c r="G11" s="1" t="s">
        <v>267</v>
      </c>
      <c r="H11" s="1" t="s">
        <v>301</v>
      </c>
      <c r="I11" s="1"/>
      <c r="J11" s="5" t="s">
        <v>18</v>
      </c>
      <c r="K11" s="1" t="s">
        <v>269</v>
      </c>
    </row>
  </sheetData>
  <autoFilter ref="A1:K10" xr:uid="{00000000-0009-0000-0000-00000D000000}"/>
  <mergeCells count="1">
    <mergeCell ref="A1:K1"/>
  </mergeCells>
  <dataValidations count="1">
    <dataValidation type="list" allowBlank="1" sqref="J2:J10" xr:uid="{00000000-0002-0000-0D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8"/>
  <sheetViews>
    <sheetView zoomScaleNormal="100" workbookViewId="0">
      <pane ySplit="2" topLeftCell="A3" activePane="bottomLeft" state="frozen"/>
      <selection pane="bottomLeft" sqref="A1:K1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700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1.75" customHeight="1" x14ac:dyDescent="0.25">
      <c r="A3" s="3">
        <v>74</v>
      </c>
      <c r="B3" s="4" t="s">
        <v>401</v>
      </c>
      <c r="C3" s="1" t="s">
        <v>402</v>
      </c>
      <c r="D3" s="1" t="s">
        <v>403</v>
      </c>
      <c r="E3" s="1" t="s">
        <v>12</v>
      </c>
      <c r="F3" s="1" t="s">
        <v>404</v>
      </c>
      <c r="G3" s="1" t="s">
        <v>89</v>
      </c>
      <c r="H3" s="1" t="s">
        <v>405</v>
      </c>
      <c r="I3" s="1"/>
      <c r="J3" s="5" t="s">
        <v>18</v>
      </c>
      <c r="K3" s="1"/>
    </row>
    <row r="4" spans="1:11" ht="51.75" customHeight="1" x14ac:dyDescent="0.25">
      <c r="A4" s="3">
        <v>75</v>
      </c>
      <c r="B4" s="6" t="s">
        <v>406</v>
      </c>
      <c r="C4" s="7" t="s">
        <v>402</v>
      </c>
      <c r="D4" s="7" t="s">
        <v>407</v>
      </c>
      <c r="E4" s="7" t="s">
        <v>408</v>
      </c>
      <c r="F4" s="7" t="s">
        <v>409</v>
      </c>
      <c r="G4" s="7" t="s">
        <v>410</v>
      </c>
      <c r="H4" s="7" t="s">
        <v>411</v>
      </c>
      <c r="I4" s="7"/>
      <c r="J4" s="5" t="s">
        <v>18</v>
      </c>
      <c r="K4" s="7"/>
    </row>
    <row r="5" spans="1:11" ht="51.75" customHeight="1" x14ac:dyDescent="0.25">
      <c r="A5" s="3">
        <v>76</v>
      </c>
      <c r="B5" s="4" t="s">
        <v>412</v>
      </c>
      <c r="C5" s="1" t="s">
        <v>402</v>
      </c>
      <c r="D5" s="1" t="s">
        <v>413</v>
      </c>
      <c r="E5" s="1" t="s">
        <v>408</v>
      </c>
      <c r="F5" s="1" t="s">
        <v>414</v>
      </c>
      <c r="G5" s="1" t="s">
        <v>415</v>
      </c>
      <c r="H5" s="1" t="s">
        <v>416</v>
      </c>
      <c r="I5" s="1"/>
      <c r="J5" s="5" t="s">
        <v>18</v>
      </c>
      <c r="K5" s="1"/>
    </row>
    <row r="6" spans="1:11" ht="51.75" customHeight="1" x14ac:dyDescent="0.25">
      <c r="A6" s="3">
        <v>77</v>
      </c>
      <c r="B6" s="6" t="s">
        <v>417</v>
      </c>
      <c r="C6" s="7" t="s">
        <v>402</v>
      </c>
      <c r="D6" s="7" t="s">
        <v>418</v>
      </c>
      <c r="E6" s="7" t="s">
        <v>419</v>
      </c>
      <c r="F6" s="7" t="s">
        <v>420</v>
      </c>
      <c r="G6" s="7" t="s">
        <v>421</v>
      </c>
      <c r="H6" s="7" t="s">
        <v>422</v>
      </c>
      <c r="I6" s="7"/>
      <c r="J6" s="5" t="s">
        <v>18</v>
      </c>
      <c r="K6" s="7"/>
    </row>
    <row r="7" spans="1:11" ht="51.75" customHeight="1" x14ac:dyDescent="0.25">
      <c r="A7" s="3">
        <v>78</v>
      </c>
      <c r="B7" s="4" t="s">
        <v>423</v>
      </c>
      <c r="C7" s="1" t="s">
        <v>402</v>
      </c>
      <c r="D7" s="1" t="s">
        <v>424</v>
      </c>
      <c r="E7" s="1" t="s">
        <v>425</v>
      </c>
      <c r="F7" s="1" t="s">
        <v>426</v>
      </c>
      <c r="G7" s="1" t="s">
        <v>89</v>
      </c>
      <c r="H7" s="1" t="s">
        <v>391</v>
      </c>
      <c r="I7" s="1"/>
      <c r="J7" s="5" t="s">
        <v>18</v>
      </c>
      <c r="K7" s="1"/>
    </row>
    <row r="8" spans="1:11" x14ac:dyDescent="0.25">
      <c r="A8" s="3">
        <v>79</v>
      </c>
      <c r="B8" s="6" t="s">
        <v>427</v>
      </c>
      <c r="C8" s="7" t="s">
        <v>402</v>
      </c>
      <c r="D8" s="7" t="s">
        <v>428</v>
      </c>
      <c r="E8" s="7" t="s">
        <v>408</v>
      </c>
      <c r="F8" s="7" t="s">
        <v>429</v>
      </c>
      <c r="G8" s="7" t="s">
        <v>89</v>
      </c>
      <c r="H8" s="7" t="s">
        <v>430</v>
      </c>
      <c r="I8" s="7"/>
      <c r="J8" s="5" t="s">
        <v>18</v>
      </c>
      <c r="K8" s="7"/>
    </row>
  </sheetData>
  <autoFilter ref="A1:K7" xr:uid="{00000000-0009-0000-0000-00000E000000}"/>
  <mergeCells count="1">
    <mergeCell ref="A1:K1"/>
  </mergeCells>
  <dataValidations count="1">
    <dataValidation type="list" allowBlank="1" sqref="J2:J7" xr:uid="{00000000-0002-0000-0E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"/>
  <sheetViews>
    <sheetView zoomScaleNormal="100" workbookViewId="0">
      <pane ySplit="2" topLeftCell="A3" activePane="bottomLeft" state="frozen"/>
      <selection pane="bottomLeft" sqref="A1:K1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701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1.75" customHeight="1" x14ac:dyDescent="0.25">
      <c r="A3" s="3">
        <v>80</v>
      </c>
      <c r="B3" s="4" t="s">
        <v>431</v>
      </c>
      <c r="C3" s="1" t="s">
        <v>432</v>
      </c>
      <c r="D3" s="1" t="s">
        <v>433</v>
      </c>
      <c r="E3" s="1" t="s">
        <v>12</v>
      </c>
      <c r="F3" s="1" t="s">
        <v>434</v>
      </c>
      <c r="G3" s="1" t="s">
        <v>89</v>
      </c>
      <c r="H3" s="1" t="s">
        <v>435</v>
      </c>
      <c r="I3" s="1"/>
      <c r="J3" s="5" t="s">
        <v>18</v>
      </c>
      <c r="K3" s="1"/>
    </row>
    <row r="4" spans="1:11" ht="51.75" customHeight="1" x14ac:dyDescent="0.25">
      <c r="A4" s="3">
        <v>81</v>
      </c>
      <c r="B4" s="6" t="s">
        <v>436</v>
      </c>
      <c r="C4" s="7" t="s">
        <v>432</v>
      </c>
      <c r="D4" s="7" t="s">
        <v>437</v>
      </c>
      <c r="E4" s="7" t="s">
        <v>438</v>
      </c>
      <c r="F4" s="7" t="s">
        <v>439</v>
      </c>
      <c r="G4" s="7" t="s">
        <v>440</v>
      </c>
      <c r="H4" s="7" t="s">
        <v>441</v>
      </c>
      <c r="I4" s="7"/>
      <c r="J4" s="5" t="s">
        <v>18</v>
      </c>
      <c r="K4" s="7"/>
    </row>
    <row r="5" spans="1:11" ht="51.75" customHeight="1" x14ac:dyDescent="0.25">
      <c r="A5" s="3">
        <v>82</v>
      </c>
      <c r="B5" s="4" t="s">
        <v>442</v>
      </c>
      <c r="C5" s="1" t="s">
        <v>432</v>
      </c>
      <c r="D5" s="1" t="s">
        <v>443</v>
      </c>
      <c r="E5" s="1" t="s">
        <v>438</v>
      </c>
      <c r="F5" s="1" t="s">
        <v>234</v>
      </c>
      <c r="G5" s="1" t="s">
        <v>444</v>
      </c>
      <c r="H5" s="1" t="s">
        <v>416</v>
      </c>
      <c r="I5" s="1"/>
      <c r="J5" s="5" t="s">
        <v>18</v>
      </c>
      <c r="K5" s="1"/>
    </row>
    <row r="6" spans="1:11" ht="51.75" customHeight="1" x14ac:dyDescent="0.25">
      <c r="A6" s="3">
        <v>83</v>
      </c>
      <c r="B6" s="6" t="s">
        <v>445</v>
      </c>
      <c r="C6" s="7" t="s">
        <v>432</v>
      </c>
      <c r="D6" s="7" t="s">
        <v>446</v>
      </c>
      <c r="E6" s="7" t="s">
        <v>447</v>
      </c>
      <c r="F6" s="7" t="s">
        <v>448</v>
      </c>
      <c r="G6" s="7" t="s">
        <v>449</v>
      </c>
      <c r="H6" s="7" t="s">
        <v>450</v>
      </c>
      <c r="I6" s="7"/>
      <c r="J6" s="5" t="s">
        <v>18</v>
      </c>
      <c r="K6" s="7"/>
    </row>
    <row r="7" spans="1:11" ht="51.75" customHeight="1" x14ac:dyDescent="0.25">
      <c r="A7" s="3">
        <v>84</v>
      </c>
      <c r="B7" s="4" t="s">
        <v>451</v>
      </c>
      <c r="C7" s="1" t="s">
        <v>432</v>
      </c>
      <c r="D7" s="1" t="s">
        <v>452</v>
      </c>
      <c r="E7" s="1" t="s">
        <v>453</v>
      </c>
      <c r="F7" s="1" t="s">
        <v>426</v>
      </c>
      <c r="G7" s="1" t="s">
        <v>89</v>
      </c>
      <c r="H7" s="1" t="s">
        <v>391</v>
      </c>
      <c r="I7" s="1"/>
      <c r="J7" s="5" t="s">
        <v>18</v>
      </c>
      <c r="K7" s="1"/>
    </row>
    <row r="8" spans="1:11" ht="51.75" customHeight="1" x14ac:dyDescent="0.25">
      <c r="A8" s="3">
        <v>85</v>
      </c>
      <c r="B8" s="6" t="s">
        <v>454</v>
      </c>
      <c r="C8" s="7" t="s">
        <v>432</v>
      </c>
      <c r="D8" s="7" t="s">
        <v>455</v>
      </c>
      <c r="E8" s="7" t="s">
        <v>299</v>
      </c>
      <c r="F8" s="7" t="s">
        <v>456</v>
      </c>
      <c r="G8" s="7" t="s">
        <v>267</v>
      </c>
      <c r="H8" s="7" t="s">
        <v>457</v>
      </c>
      <c r="I8" s="7"/>
      <c r="J8" s="5" t="s">
        <v>18</v>
      </c>
      <c r="K8" s="7" t="s">
        <v>269</v>
      </c>
    </row>
    <row r="9" spans="1:11" ht="51.75" customHeight="1" x14ac:dyDescent="0.25">
      <c r="A9" s="3">
        <v>86</v>
      </c>
      <c r="B9" s="4" t="s">
        <v>458</v>
      </c>
      <c r="C9" s="1" t="s">
        <v>432</v>
      </c>
      <c r="D9" s="1" t="s">
        <v>459</v>
      </c>
      <c r="E9" s="1" t="s">
        <v>438</v>
      </c>
      <c r="F9" s="1" t="s">
        <v>460</v>
      </c>
      <c r="G9" s="1" t="s">
        <v>461</v>
      </c>
      <c r="H9" s="1" t="s">
        <v>462</v>
      </c>
      <c r="I9" s="1"/>
      <c r="J9" s="5" t="s">
        <v>18</v>
      </c>
      <c r="K9" s="1"/>
    </row>
    <row r="10" spans="1:11" x14ac:dyDescent="0.25">
      <c r="A10" s="3">
        <v>87</v>
      </c>
      <c r="B10" s="6" t="s">
        <v>463</v>
      </c>
      <c r="C10" s="7" t="s">
        <v>432</v>
      </c>
      <c r="D10" s="7" t="s">
        <v>464</v>
      </c>
      <c r="E10" s="7" t="s">
        <v>438</v>
      </c>
      <c r="F10" s="7" t="s">
        <v>261</v>
      </c>
      <c r="G10" s="7" t="s">
        <v>89</v>
      </c>
      <c r="H10" s="7" t="s">
        <v>465</v>
      </c>
      <c r="I10" s="7"/>
      <c r="J10" s="5" t="s">
        <v>18</v>
      </c>
      <c r="K10" s="7"/>
    </row>
  </sheetData>
  <autoFilter ref="A1:K9" xr:uid="{00000000-0009-0000-0000-00000F000000}"/>
  <mergeCells count="1">
    <mergeCell ref="A1:K1"/>
  </mergeCells>
  <dataValidations count="1">
    <dataValidation type="list" allowBlank="1" sqref="J2:J9" xr:uid="{00000000-0002-0000-0F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8"/>
  <sheetViews>
    <sheetView zoomScaleNormal="100" workbookViewId="0">
      <pane ySplit="2" topLeftCell="A3" activePane="bottomLeft" state="frozen"/>
      <selection pane="bottomLeft" sqref="A1:K1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702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1.75" customHeight="1" x14ac:dyDescent="0.25">
      <c r="A3" s="3">
        <v>88</v>
      </c>
      <c r="B3" s="4" t="s">
        <v>466</v>
      </c>
      <c r="C3" s="1" t="s">
        <v>467</v>
      </c>
      <c r="D3" s="1" t="s">
        <v>468</v>
      </c>
      <c r="E3" s="1" t="s">
        <v>217</v>
      </c>
      <c r="F3" s="1" t="s">
        <v>469</v>
      </c>
      <c r="G3" s="1" t="s">
        <v>89</v>
      </c>
      <c r="H3" s="1" t="s">
        <v>470</v>
      </c>
      <c r="I3" s="1"/>
      <c r="J3" s="5" t="s">
        <v>18</v>
      </c>
      <c r="K3" s="1"/>
    </row>
    <row r="4" spans="1:11" ht="51.75" customHeight="1" x14ac:dyDescent="0.25">
      <c r="A4" s="3">
        <v>89</v>
      </c>
      <c r="B4" s="6" t="s">
        <v>471</v>
      </c>
      <c r="C4" s="7" t="s">
        <v>467</v>
      </c>
      <c r="D4" s="7" t="s">
        <v>472</v>
      </c>
      <c r="E4" s="7" t="s">
        <v>473</v>
      </c>
      <c r="F4" s="7" t="s">
        <v>474</v>
      </c>
      <c r="G4" s="7" t="s">
        <v>475</v>
      </c>
      <c r="H4" s="7" t="s">
        <v>476</v>
      </c>
      <c r="I4" s="7"/>
      <c r="J4" s="5" t="s">
        <v>18</v>
      </c>
      <c r="K4" s="7"/>
    </row>
    <row r="5" spans="1:11" ht="51.75" customHeight="1" x14ac:dyDescent="0.25">
      <c r="A5" s="3">
        <v>90</v>
      </c>
      <c r="B5" s="4" t="s">
        <v>477</v>
      </c>
      <c r="C5" s="1" t="s">
        <v>467</v>
      </c>
      <c r="D5" s="1" t="s">
        <v>478</v>
      </c>
      <c r="E5" s="1" t="s">
        <v>473</v>
      </c>
      <c r="F5" s="1" t="s">
        <v>479</v>
      </c>
      <c r="G5" s="1" t="s">
        <v>480</v>
      </c>
      <c r="H5" s="1" t="s">
        <v>481</v>
      </c>
      <c r="I5" s="1"/>
      <c r="J5" s="5" t="s">
        <v>18</v>
      </c>
      <c r="K5" s="1"/>
    </row>
    <row r="6" spans="1:11" ht="51.75" customHeight="1" x14ac:dyDescent="0.25">
      <c r="A6" s="3">
        <v>91</v>
      </c>
      <c r="B6" s="6" t="s">
        <v>482</v>
      </c>
      <c r="C6" s="7" t="s">
        <v>467</v>
      </c>
      <c r="D6" s="7" t="s">
        <v>483</v>
      </c>
      <c r="E6" s="7" t="s">
        <v>484</v>
      </c>
      <c r="F6" s="7" t="s">
        <v>485</v>
      </c>
      <c r="G6" s="7" t="s">
        <v>486</v>
      </c>
      <c r="H6" s="7" t="s">
        <v>487</v>
      </c>
      <c r="I6" s="7"/>
      <c r="J6" s="5" t="s">
        <v>18</v>
      </c>
      <c r="K6" s="7"/>
    </row>
    <row r="7" spans="1:11" ht="51.75" customHeight="1" x14ac:dyDescent="0.25">
      <c r="A7" s="3">
        <v>92</v>
      </c>
      <c r="B7" s="4" t="s">
        <v>488</v>
      </c>
      <c r="C7" s="1" t="s">
        <v>467</v>
      </c>
      <c r="D7" s="1" t="s">
        <v>489</v>
      </c>
      <c r="E7" s="1" t="s">
        <v>490</v>
      </c>
      <c r="F7" s="1" t="s">
        <v>426</v>
      </c>
      <c r="G7" s="1" t="s">
        <v>89</v>
      </c>
      <c r="H7" s="1" t="s">
        <v>391</v>
      </c>
      <c r="I7" s="1"/>
      <c r="J7" s="5" t="s">
        <v>18</v>
      </c>
      <c r="K7" s="1"/>
    </row>
    <row r="8" spans="1:11" x14ac:dyDescent="0.25">
      <c r="A8" s="3">
        <v>93</v>
      </c>
      <c r="B8" s="6" t="s">
        <v>491</v>
      </c>
      <c r="C8" s="7" t="s">
        <v>467</v>
      </c>
      <c r="D8" s="7" t="s">
        <v>492</v>
      </c>
      <c r="E8" s="7" t="s">
        <v>473</v>
      </c>
      <c r="F8" s="7" t="s">
        <v>429</v>
      </c>
      <c r="G8" s="7" t="s">
        <v>89</v>
      </c>
      <c r="H8" s="7" t="s">
        <v>493</v>
      </c>
      <c r="I8" s="7"/>
      <c r="J8" s="5" t="s">
        <v>18</v>
      </c>
      <c r="K8" s="7"/>
    </row>
  </sheetData>
  <autoFilter ref="A1:K7" xr:uid="{00000000-0009-0000-0000-000010000000}"/>
  <mergeCells count="1">
    <mergeCell ref="A1:K1"/>
  </mergeCells>
  <dataValidations count="1">
    <dataValidation type="list" allowBlank="1" sqref="J2:J7" xr:uid="{00000000-0002-0000-10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0"/>
  <sheetViews>
    <sheetView zoomScaleNormal="100" workbookViewId="0">
      <pane ySplit="2" topLeftCell="A3" activePane="bottomLeft" state="frozen"/>
      <selection pane="bottomLeft" sqref="A1:K1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703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1.75" customHeight="1" x14ac:dyDescent="0.25">
      <c r="A3" s="3">
        <v>94</v>
      </c>
      <c r="B3" s="4" t="s">
        <v>494</v>
      </c>
      <c r="C3" s="1" t="s">
        <v>495</v>
      </c>
      <c r="D3" s="1" t="s">
        <v>496</v>
      </c>
      <c r="E3" s="1" t="s">
        <v>497</v>
      </c>
      <c r="F3" s="1" t="s">
        <v>498</v>
      </c>
      <c r="G3" s="1" t="s">
        <v>89</v>
      </c>
      <c r="H3" s="1" t="s">
        <v>499</v>
      </c>
      <c r="I3" s="1"/>
      <c r="J3" s="5" t="s">
        <v>18</v>
      </c>
      <c r="K3" s="1" t="s">
        <v>500</v>
      </c>
    </row>
    <row r="4" spans="1:11" ht="51.75" customHeight="1" x14ac:dyDescent="0.25">
      <c r="A4" s="3">
        <v>95</v>
      </c>
      <c r="B4" s="6" t="s">
        <v>501</v>
      </c>
      <c r="C4" s="7" t="s">
        <v>495</v>
      </c>
      <c r="D4" s="7" t="s">
        <v>502</v>
      </c>
      <c r="E4" s="7" t="s">
        <v>503</v>
      </c>
      <c r="F4" s="7" t="s">
        <v>504</v>
      </c>
      <c r="G4" s="7" t="s">
        <v>505</v>
      </c>
      <c r="H4" s="7" t="s">
        <v>506</v>
      </c>
      <c r="I4" s="7"/>
      <c r="J4" s="5" t="s">
        <v>18</v>
      </c>
      <c r="K4" s="7"/>
    </row>
    <row r="5" spans="1:11" ht="51.75" customHeight="1" x14ac:dyDescent="0.25">
      <c r="A5" s="3">
        <v>96</v>
      </c>
      <c r="B5" s="4" t="s">
        <v>507</v>
      </c>
      <c r="C5" s="1" t="s">
        <v>495</v>
      </c>
      <c r="D5" s="1" t="s">
        <v>508</v>
      </c>
      <c r="E5" s="1" t="s">
        <v>509</v>
      </c>
      <c r="F5" s="1" t="s">
        <v>510</v>
      </c>
      <c r="G5" s="1" t="s">
        <v>511</v>
      </c>
      <c r="H5" s="1" t="s">
        <v>512</v>
      </c>
      <c r="I5" s="1"/>
      <c r="J5" s="5" t="s">
        <v>18</v>
      </c>
      <c r="K5" s="1"/>
    </row>
    <row r="6" spans="1:11" ht="51.75" customHeight="1" x14ac:dyDescent="0.25">
      <c r="A6" s="3">
        <v>97</v>
      </c>
      <c r="B6" s="6" t="s">
        <v>513</v>
      </c>
      <c r="C6" s="7" t="s">
        <v>495</v>
      </c>
      <c r="D6" s="7" t="s">
        <v>514</v>
      </c>
      <c r="E6" s="7" t="s">
        <v>515</v>
      </c>
      <c r="F6" s="7" t="s">
        <v>516</v>
      </c>
      <c r="G6" s="7" t="s">
        <v>517</v>
      </c>
      <c r="H6" s="7" t="s">
        <v>518</v>
      </c>
      <c r="I6" s="7"/>
      <c r="J6" s="5" t="s">
        <v>18</v>
      </c>
      <c r="K6" s="7"/>
    </row>
    <row r="7" spans="1:11" ht="51.75" customHeight="1" x14ac:dyDescent="0.25">
      <c r="A7" s="3">
        <v>98</v>
      </c>
      <c r="B7" s="4" t="s">
        <v>519</v>
      </c>
      <c r="C7" s="1" t="s">
        <v>495</v>
      </c>
      <c r="D7" s="1" t="s">
        <v>520</v>
      </c>
      <c r="E7" s="1" t="s">
        <v>521</v>
      </c>
      <c r="F7" s="1" t="s">
        <v>522</v>
      </c>
      <c r="G7" s="1" t="s">
        <v>89</v>
      </c>
      <c r="H7" s="1" t="s">
        <v>391</v>
      </c>
      <c r="I7" s="1"/>
      <c r="J7" s="5" t="s">
        <v>18</v>
      </c>
      <c r="K7" s="1"/>
    </row>
    <row r="8" spans="1:11" ht="51.75" customHeight="1" x14ac:dyDescent="0.25">
      <c r="A8" s="3">
        <v>99</v>
      </c>
      <c r="B8" s="6" t="s">
        <v>523</v>
      </c>
      <c r="C8" s="7" t="s">
        <v>495</v>
      </c>
      <c r="D8" s="7" t="s">
        <v>524</v>
      </c>
      <c r="E8" s="7" t="s">
        <v>525</v>
      </c>
      <c r="F8" s="7" t="s">
        <v>526</v>
      </c>
      <c r="G8" s="7" t="s">
        <v>527</v>
      </c>
      <c r="H8" s="7" t="s">
        <v>528</v>
      </c>
      <c r="I8" s="7"/>
      <c r="J8" s="5" t="s">
        <v>18</v>
      </c>
      <c r="K8" s="7" t="s">
        <v>529</v>
      </c>
    </row>
    <row r="9" spans="1:11" ht="51.75" customHeight="1" x14ac:dyDescent="0.25">
      <c r="A9" s="3">
        <v>100</v>
      </c>
      <c r="B9" s="4" t="s">
        <v>530</v>
      </c>
      <c r="C9" s="1" t="s">
        <v>495</v>
      </c>
      <c r="D9" s="1" t="s">
        <v>531</v>
      </c>
      <c r="E9" s="1" t="s">
        <v>532</v>
      </c>
      <c r="F9" s="1" t="s">
        <v>533</v>
      </c>
      <c r="G9" s="1" t="s">
        <v>534</v>
      </c>
      <c r="H9" s="1" t="s">
        <v>535</v>
      </c>
      <c r="I9" s="1"/>
      <c r="J9" s="5" t="s">
        <v>18</v>
      </c>
      <c r="K9" s="1" t="s">
        <v>269</v>
      </c>
    </row>
    <row r="10" spans="1:11" x14ac:dyDescent="0.25">
      <c r="A10" s="3">
        <v>101</v>
      </c>
      <c r="B10" s="6" t="s">
        <v>536</v>
      </c>
      <c r="C10" s="7" t="s">
        <v>495</v>
      </c>
      <c r="D10" s="7" t="s">
        <v>537</v>
      </c>
      <c r="E10" s="7" t="s">
        <v>503</v>
      </c>
      <c r="F10" s="7" t="s">
        <v>429</v>
      </c>
      <c r="G10" s="7" t="s">
        <v>89</v>
      </c>
      <c r="H10" s="7" t="s">
        <v>538</v>
      </c>
      <c r="I10" s="7"/>
      <c r="J10" s="5" t="s">
        <v>18</v>
      </c>
      <c r="K10" s="7"/>
    </row>
  </sheetData>
  <autoFilter ref="A1:K9" xr:uid="{00000000-0009-0000-0000-000011000000}"/>
  <mergeCells count="1">
    <mergeCell ref="A1:K1"/>
  </mergeCells>
  <dataValidations count="1">
    <dataValidation type="list" allowBlank="1" sqref="J2:J9" xr:uid="{00000000-0002-0000-11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6"/>
  <sheetViews>
    <sheetView zoomScaleNormal="100" workbookViewId="0">
      <pane ySplit="2" topLeftCell="A3" activePane="bottomLeft" state="frozen"/>
      <selection pane="bottomLeft" sqref="A1:K1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704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1.75" customHeight="1" x14ac:dyDescent="0.25">
      <c r="A3" s="3">
        <v>102</v>
      </c>
      <c r="B3" s="4" t="s">
        <v>539</v>
      </c>
      <c r="C3" s="1" t="s">
        <v>540</v>
      </c>
      <c r="D3" s="1" t="s">
        <v>541</v>
      </c>
      <c r="E3" s="1" t="s">
        <v>217</v>
      </c>
      <c r="F3" s="1" t="s">
        <v>542</v>
      </c>
      <c r="G3" s="1" t="s">
        <v>543</v>
      </c>
      <c r="H3" s="1" t="s">
        <v>544</v>
      </c>
      <c r="I3" s="1"/>
      <c r="J3" s="5" t="s">
        <v>18</v>
      </c>
      <c r="K3" s="1"/>
    </row>
    <row r="4" spans="1:11" ht="51.75" customHeight="1" x14ac:dyDescent="0.25">
      <c r="A4" s="3">
        <v>103</v>
      </c>
      <c r="B4" s="6" t="s">
        <v>545</v>
      </c>
      <c r="C4" s="7" t="s">
        <v>540</v>
      </c>
      <c r="D4" s="7" t="s">
        <v>546</v>
      </c>
      <c r="E4" s="7" t="s">
        <v>547</v>
      </c>
      <c r="F4" s="7" t="s">
        <v>548</v>
      </c>
      <c r="G4" s="7" t="s">
        <v>543</v>
      </c>
      <c r="H4" s="7" t="s">
        <v>549</v>
      </c>
      <c r="I4" s="7"/>
      <c r="J4" s="5" t="s">
        <v>18</v>
      </c>
      <c r="K4" s="7"/>
    </row>
    <row r="5" spans="1:11" ht="51.75" customHeight="1" x14ac:dyDescent="0.25">
      <c r="A5" s="3">
        <v>104</v>
      </c>
      <c r="B5" s="4" t="s">
        <v>550</v>
      </c>
      <c r="C5" s="1" t="s">
        <v>540</v>
      </c>
      <c r="D5" s="1" t="s">
        <v>551</v>
      </c>
      <c r="E5" s="1" t="s">
        <v>547</v>
      </c>
      <c r="F5" s="1" t="s">
        <v>552</v>
      </c>
      <c r="G5" s="1" t="s">
        <v>553</v>
      </c>
      <c r="H5" s="1" t="s">
        <v>554</v>
      </c>
      <c r="I5" s="1"/>
      <c r="J5" s="5" t="s">
        <v>18</v>
      </c>
      <c r="K5" s="1"/>
    </row>
    <row r="6" spans="1:11" x14ac:dyDescent="0.25">
      <c r="A6" s="3">
        <v>105</v>
      </c>
      <c r="B6" s="6" t="s">
        <v>555</v>
      </c>
      <c r="C6" s="7" t="s">
        <v>540</v>
      </c>
      <c r="D6" s="7" t="s">
        <v>556</v>
      </c>
      <c r="E6" s="7" t="s">
        <v>557</v>
      </c>
      <c r="F6" s="7" t="s">
        <v>558</v>
      </c>
      <c r="G6" s="7" t="s">
        <v>89</v>
      </c>
      <c r="H6" s="7" t="s">
        <v>559</v>
      </c>
      <c r="I6" s="7"/>
      <c r="J6" s="5" t="s">
        <v>18</v>
      </c>
      <c r="K6" s="7"/>
    </row>
  </sheetData>
  <autoFilter ref="A1:K5" xr:uid="{00000000-0009-0000-0000-000012000000}"/>
  <mergeCells count="1">
    <mergeCell ref="A1:K1"/>
  </mergeCells>
  <dataValidations count="1">
    <dataValidation type="list" allowBlank="1" sqref="J2:J5" xr:uid="{00000000-0002-0000-12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"/>
  <sheetViews>
    <sheetView zoomScaleNormal="100" workbookViewId="0">
      <pane ySplit="2" topLeftCell="A3" activePane="bottomLeft" state="frozen"/>
      <selection pane="bottomLeft" sqref="A1:K1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705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2.5" customHeight="1" x14ac:dyDescent="0.25">
      <c r="A3" s="3">
        <v>106</v>
      </c>
      <c r="B3" s="4" t="s">
        <v>560</v>
      </c>
      <c r="C3" s="1" t="s">
        <v>561</v>
      </c>
      <c r="D3" s="1" t="s">
        <v>562</v>
      </c>
      <c r="E3" s="1" t="s">
        <v>217</v>
      </c>
      <c r="F3" s="1" t="s">
        <v>563</v>
      </c>
      <c r="G3" s="1" t="s">
        <v>564</v>
      </c>
      <c r="H3" s="1" t="s">
        <v>565</v>
      </c>
      <c r="I3" s="1"/>
      <c r="J3" s="5" t="s">
        <v>18</v>
      </c>
      <c r="K3" s="1"/>
    </row>
  </sheetData>
  <autoFilter ref="A1:K2" xr:uid="{00000000-0009-0000-0000-000013000000}"/>
  <mergeCells count="1">
    <mergeCell ref="A1:K1"/>
  </mergeCells>
  <dataValidations count="1">
    <dataValidation type="list" allowBlank="1" sqref="J2" xr:uid="{00000000-0002-0000-13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4"/>
  <sheetViews>
    <sheetView zoomScaleNormal="100" workbookViewId="0">
      <pane ySplit="2" topLeftCell="A3" activePane="bottomLeft" state="frozen"/>
      <selection pane="bottomLeft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706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1.75" customHeight="1" x14ac:dyDescent="0.25">
      <c r="A3" s="3">
        <v>107</v>
      </c>
      <c r="B3" s="4" t="s">
        <v>566</v>
      </c>
      <c r="C3" s="1" t="s">
        <v>567</v>
      </c>
      <c r="D3" s="1" t="s">
        <v>568</v>
      </c>
      <c r="E3" s="1" t="s">
        <v>569</v>
      </c>
      <c r="F3" s="1" t="s">
        <v>570</v>
      </c>
      <c r="G3" s="1" t="s">
        <v>571</v>
      </c>
      <c r="H3" s="1" t="s">
        <v>572</v>
      </c>
      <c r="I3" s="1"/>
      <c r="J3" s="5" t="s">
        <v>18</v>
      </c>
      <c r="K3" s="1"/>
    </row>
    <row r="4" spans="1:11" ht="26.25" customHeight="1" x14ac:dyDescent="0.25">
      <c r="A4" s="3">
        <v>108</v>
      </c>
      <c r="B4" s="6" t="s">
        <v>573</v>
      </c>
      <c r="C4" s="7" t="s">
        <v>567</v>
      </c>
      <c r="D4" s="7" t="s">
        <v>574</v>
      </c>
      <c r="E4" s="7" t="s">
        <v>575</v>
      </c>
      <c r="F4" s="7" t="s">
        <v>576</v>
      </c>
      <c r="G4" s="7" t="s">
        <v>577</v>
      </c>
      <c r="H4" s="7" t="s">
        <v>578</v>
      </c>
      <c r="I4" s="7"/>
      <c r="J4" s="8" t="s">
        <v>47</v>
      </c>
      <c r="K4" s="7" t="s">
        <v>36</v>
      </c>
    </row>
  </sheetData>
  <autoFilter ref="A1:K3" xr:uid="{00000000-0009-0000-0000-000014000000}"/>
  <mergeCells count="1">
    <mergeCell ref="A1:K1"/>
  </mergeCells>
  <dataValidations count="1">
    <dataValidation type="list" allowBlank="1" sqref="J2:J3" xr:uid="{00000000-0002-0000-14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11"/>
  <sheetViews>
    <sheetView zoomScaleNormal="100" workbookViewId="0">
      <pane ySplit="2" topLeftCell="A3" activePane="bottomLeft" state="frozen"/>
      <selection pane="bottomLeft" sqref="A1:K1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707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1.75" customHeight="1" x14ac:dyDescent="0.25">
      <c r="A3" s="3">
        <v>109</v>
      </c>
      <c r="B3" s="4" t="s">
        <v>579</v>
      </c>
      <c r="C3" s="1" t="s">
        <v>580</v>
      </c>
      <c r="D3" s="1" t="s">
        <v>581</v>
      </c>
      <c r="E3" s="1" t="s">
        <v>582</v>
      </c>
      <c r="F3" s="1" t="s">
        <v>583</v>
      </c>
      <c r="G3" s="1" t="s">
        <v>89</v>
      </c>
      <c r="H3" s="1" t="s">
        <v>584</v>
      </c>
      <c r="I3" s="1"/>
      <c r="J3" s="5" t="s">
        <v>18</v>
      </c>
      <c r="K3" s="1"/>
    </row>
    <row r="4" spans="1:11" ht="51.75" customHeight="1" x14ac:dyDescent="0.25">
      <c r="A4" s="3">
        <v>110</v>
      </c>
      <c r="B4" s="6" t="s">
        <v>585</v>
      </c>
      <c r="C4" s="7" t="s">
        <v>580</v>
      </c>
      <c r="D4" s="7" t="s">
        <v>586</v>
      </c>
      <c r="E4" s="7" t="s">
        <v>587</v>
      </c>
      <c r="F4" s="7" t="s">
        <v>588</v>
      </c>
      <c r="G4" s="7" t="s">
        <v>89</v>
      </c>
      <c r="H4" s="7" t="s">
        <v>589</v>
      </c>
      <c r="I4" s="7"/>
      <c r="J4" s="5" t="s">
        <v>18</v>
      </c>
      <c r="K4" s="7"/>
    </row>
    <row r="5" spans="1:11" ht="51.75" customHeight="1" x14ac:dyDescent="0.25">
      <c r="A5" s="3">
        <v>111</v>
      </c>
      <c r="B5" s="4" t="s">
        <v>590</v>
      </c>
      <c r="C5" s="1" t="s">
        <v>580</v>
      </c>
      <c r="D5" s="1" t="s">
        <v>591</v>
      </c>
      <c r="E5" s="1" t="s">
        <v>12</v>
      </c>
      <c r="F5" s="1" t="s">
        <v>592</v>
      </c>
      <c r="G5" s="1" t="s">
        <v>593</v>
      </c>
      <c r="H5" s="1" t="s">
        <v>594</v>
      </c>
      <c r="I5" s="1"/>
      <c r="J5" s="5" t="s">
        <v>18</v>
      </c>
      <c r="K5" s="1"/>
    </row>
    <row r="6" spans="1:11" ht="51.75" customHeight="1" x14ac:dyDescent="0.25">
      <c r="A6" s="3">
        <v>112</v>
      </c>
      <c r="B6" s="6" t="s">
        <v>595</v>
      </c>
      <c r="C6" s="7" t="s">
        <v>580</v>
      </c>
      <c r="D6" s="7" t="s">
        <v>596</v>
      </c>
      <c r="E6" s="7" t="s">
        <v>12</v>
      </c>
      <c r="F6" s="7" t="s">
        <v>597</v>
      </c>
      <c r="G6" s="7" t="s">
        <v>598</v>
      </c>
      <c r="H6" s="7" t="s">
        <v>599</v>
      </c>
      <c r="I6" s="7"/>
      <c r="J6" s="5" t="s">
        <v>18</v>
      </c>
      <c r="K6" s="7"/>
    </row>
    <row r="7" spans="1:11" ht="51.75" customHeight="1" x14ac:dyDescent="0.25">
      <c r="A7" s="3">
        <v>113</v>
      </c>
      <c r="B7" s="4" t="s">
        <v>600</v>
      </c>
      <c r="C7" s="1" t="s">
        <v>580</v>
      </c>
      <c r="D7" s="1" t="s">
        <v>601</v>
      </c>
      <c r="E7" s="1" t="s">
        <v>602</v>
      </c>
      <c r="F7" s="1" t="s">
        <v>603</v>
      </c>
      <c r="G7" s="1" t="s">
        <v>604</v>
      </c>
      <c r="H7" s="1" t="s">
        <v>605</v>
      </c>
      <c r="I7" s="1"/>
      <c r="J7" s="5" t="s">
        <v>18</v>
      </c>
      <c r="K7" s="1"/>
    </row>
    <row r="8" spans="1:11" ht="51.75" customHeight="1" x14ac:dyDescent="0.25">
      <c r="A8" s="3">
        <v>114</v>
      </c>
      <c r="B8" s="6" t="s">
        <v>606</v>
      </c>
      <c r="C8" s="7" t="s">
        <v>580</v>
      </c>
      <c r="D8" s="7" t="s">
        <v>607</v>
      </c>
      <c r="E8" s="7" t="s">
        <v>608</v>
      </c>
      <c r="F8" s="7" t="s">
        <v>609</v>
      </c>
      <c r="G8" s="7" t="s">
        <v>89</v>
      </c>
      <c r="H8" s="7" t="s">
        <v>610</v>
      </c>
      <c r="I8" s="7"/>
      <c r="J8" s="5" t="s">
        <v>18</v>
      </c>
      <c r="K8" s="7"/>
    </row>
    <row r="9" spans="1:11" ht="51.75" customHeight="1" x14ac:dyDescent="0.25">
      <c r="A9" s="3">
        <v>115</v>
      </c>
      <c r="B9" s="4" t="s">
        <v>611</v>
      </c>
      <c r="C9" s="1" t="s">
        <v>580</v>
      </c>
      <c r="D9" s="1" t="s">
        <v>612</v>
      </c>
      <c r="E9" s="1" t="s">
        <v>613</v>
      </c>
      <c r="F9" s="1" t="s">
        <v>614</v>
      </c>
      <c r="G9" s="1" t="s">
        <v>89</v>
      </c>
      <c r="H9" s="1" t="s">
        <v>615</v>
      </c>
      <c r="I9" s="1"/>
      <c r="J9" s="5" t="s">
        <v>18</v>
      </c>
      <c r="K9" s="1"/>
    </row>
    <row r="10" spans="1:11" ht="51.75" customHeight="1" x14ac:dyDescent="0.25">
      <c r="A10" s="3">
        <v>116</v>
      </c>
      <c r="B10" s="6" t="s">
        <v>616</v>
      </c>
      <c r="C10" s="7" t="s">
        <v>580</v>
      </c>
      <c r="D10" s="7" t="s">
        <v>617</v>
      </c>
      <c r="E10" s="7" t="s">
        <v>618</v>
      </c>
      <c r="F10" s="7" t="s">
        <v>619</v>
      </c>
      <c r="G10" s="7" t="s">
        <v>89</v>
      </c>
      <c r="H10" s="7" t="s">
        <v>620</v>
      </c>
      <c r="I10" s="7"/>
      <c r="J10" s="5" t="s">
        <v>18</v>
      </c>
      <c r="K10" s="7"/>
    </row>
    <row r="11" spans="1:11" x14ac:dyDescent="0.25">
      <c r="A11" s="3">
        <v>117</v>
      </c>
      <c r="B11" s="4" t="s">
        <v>621</v>
      </c>
      <c r="C11" s="1" t="s">
        <v>580</v>
      </c>
      <c r="D11" s="1" t="s">
        <v>622</v>
      </c>
      <c r="E11" s="1" t="s">
        <v>623</v>
      </c>
      <c r="F11" s="1" t="s">
        <v>624</v>
      </c>
      <c r="G11" s="1" t="s">
        <v>89</v>
      </c>
      <c r="H11" s="1" t="s">
        <v>625</v>
      </c>
      <c r="I11" s="1"/>
      <c r="J11" s="5" t="s">
        <v>18</v>
      </c>
      <c r="K11" s="1"/>
    </row>
  </sheetData>
  <autoFilter ref="A1:K10" xr:uid="{00000000-0009-0000-0000-000015000000}"/>
  <mergeCells count="1">
    <mergeCell ref="A1:K1"/>
  </mergeCells>
  <dataValidations count="1">
    <dataValidation type="list" allowBlank="1" sqref="J2:J10" xr:uid="{00000000-0002-0000-15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"/>
  <sheetViews>
    <sheetView zoomScaleNormal="100" workbookViewId="0">
      <pane ySplit="2" topLeftCell="A3" activePane="bottomLeft" state="frozen"/>
      <selection pane="bottomLeft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708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5">
      <c r="A3" s="3">
        <v>118</v>
      </c>
      <c r="B3" s="4" t="s">
        <v>626</v>
      </c>
      <c r="C3" s="1" t="s">
        <v>627</v>
      </c>
      <c r="D3" s="1" t="s">
        <v>628</v>
      </c>
      <c r="E3" s="1" t="s">
        <v>629</v>
      </c>
      <c r="F3" s="1" t="s">
        <v>630</v>
      </c>
      <c r="G3" s="1" t="s">
        <v>89</v>
      </c>
      <c r="H3" s="1" t="s">
        <v>631</v>
      </c>
      <c r="I3" s="1"/>
      <c r="J3" s="5" t="s">
        <v>18</v>
      </c>
      <c r="K3" s="1"/>
    </row>
  </sheetData>
  <autoFilter ref="A1:K2" xr:uid="{00000000-0009-0000-0000-000016000000}"/>
  <mergeCells count="1">
    <mergeCell ref="A1:K1"/>
  </mergeCells>
  <dataValidations count="1">
    <dataValidation type="list" allowBlank="1" sqref="J2" xr:uid="{00000000-0002-0000-16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8"/>
  <sheetViews>
    <sheetView tabSelected="1" zoomScaleNormal="100" workbookViewId="0">
      <pane ySplit="2" topLeftCell="A3" activePane="bottomLeft" state="frozen"/>
      <selection pane="bottomLeft" sqref="A1:K1"/>
    </sheetView>
  </sheetViews>
  <sheetFormatPr defaultColWidth="8.59765625" defaultRowHeight="13.8" x14ac:dyDescent="0.25"/>
  <cols>
    <col min="1" max="1" width="6" customWidth="1"/>
    <col min="2" max="2" width="14" customWidth="1"/>
    <col min="3" max="3" width="22" customWidth="1"/>
    <col min="4" max="4" width="38" customWidth="1"/>
    <col min="5" max="5" width="30" customWidth="1"/>
    <col min="6" max="6" width="40" customWidth="1"/>
    <col min="7" max="7" width="28" customWidth="1"/>
    <col min="8" max="8" width="42" customWidth="1"/>
    <col min="9" max="9" width="28" customWidth="1"/>
    <col min="10" max="10" width="13" customWidth="1"/>
    <col min="11" max="11" width="22" customWidth="1"/>
  </cols>
  <sheetData>
    <row r="1" spans="1:11" ht="27.75" customHeight="1" x14ac:dyDescent="0.25">
      <c r="A1" s="29" t="s">
        <v>709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5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51.75" customHeight="1" x14ac:dyDescent="0.25">
      <c r="A3" s="3">
        <v>119</v>
      </c>
      <c r="B3" s="4" t="s">
        <v>632</v>
      </c>
      <c r="C3" s="1" t="s">
        <v>633</v>
      </c>
      <c r="D3" s="1" t="s">
        <v>634</v>
      </c>
      <c r="E3" s="1" t="s">
        <v>635</v>
      </c>
      <c r="F3" s="1" t="s">
        <v>636</v>
      </c>
      <c r="G3" s="1" t="s">
        <v>637</v>
      </c>
      <c r="H3" s="1" t="s">
        <v>638</v>
      </c>
      <c r="I3" s="1"/>
      <c r="J3" s="5" t="s">
        <v>18</v>
      </c>
      <c r="K3" s="1"/>
    </row>
    <row r="4" spans="1:11" ht="51.75" customHeight="1" x14ac:dyDescent="0.25">
      <c r="A4" s="3">
        <v>120</v>
      </c>
      <c r="B4" s="6" t="s">
        <v>639</v>
      </c>
      <c r="C4" s="7" t="s">
        <v>633</v>
      </c>
      <c r="D4" s="7" t="s">
        <v>640</v>
      </c>
      <c r="E4" s="7" t="s">
        <v>641</v>
      </c>
      <c r="F4" s="7" t="s">
        <v>642</v>
      </c>
      <c r="G4" s="7" t="s">
        <v>89</v>
      </c>
      <c r="H4" s="7" t="s">
        <v>643</v>
      </c>
      <c r="I4" s="7"/>
      <c r="J4" s="5" t="s">
        <v>18</v>
      </c>
      <c r="K4" s="7"/>
    </row>
    <row r="5" spans="1:11" ht="51.75" customHeight="1" x14ac:dyDescent="0.25">
      <c r="A5" s="3">
        <v>121</v>
      </c>
      <c r="B5" s="4" t="s">
        <v>644</v>
      </c>
      <c r="C5" s="1" t="s">
        <v>633</v>
      </c>
      <c r="D5" s="1" t="s">
        <v>645</v>
      </c>
      <c r="E5" s="1" t="s">
        <v>641</v>
      </c>
      <c r="F5" s="1" t="s">
        <v>646</v>
      </c>
      <c r="G5" s="1" t="s">
        <v>89</v>
      </c>
      <c r="H5" s="1" t="s">
        <v>647</v>
      </c>
      <c r="I5" s="1"/>
      <c r="J5" s="5" t="s">
        <v>18</v>
      </c>
      <c r="K5" s="1"/>
    </row>
    <row r="6" spans="1:11" ht="51.75" customHeight="1" x14ac:dyDescent="0.25">
      <c r="A6" s="3">
        <v>122</v>
      </c>
      <c r="B6" s="6" t="s">
        <v>648</v>
      </c>
      <c r="C6" s="7" t="s">
        <v>633</v>
      </c>
      <c r="D6" s="7" t="s">
        <v>649</v>
      </c>
      <c r="E6" s="7" t="s">
        <v>641</v>
      </c>
      <c r="F6" s="7" t="s">
        <v>650</v>
      </c>
      <c r="G6" s="7" t="s">
        <v>89</v>
      </c>
      <c r="H6" s="7" t="s">
        <v>651</v>
      </c>
      <c r="I6" s="7"/>
      <c r="J6" s="5" t="s">
        <v>18</v>
      </c>
      <c r="K6" s="7"/>
    </row>
    <row r="7" spans="1:11" ht="51.75" customHeight="1" x14ac:dyDescent="0.25">
      <c r="A7" s="3">
        <v>123</v>
      </c>
      <c r="B7" s="4" t="s">
        <v>652</v>
      </c>
      <c r="C7" s="1" t="s">
        <v>633</v>
      </c>
      <c r="D7" s="1" t="s">
        <v>653</v>
      </c>
      <c r="E7" s="1" t="s">
        <v>654</v>
      </c>
      <c r="F7" s="1" t="s">
        <v>655</v>
      </c>
      <c r="G7" s="1" t="s">
        <v>656</v>
      </c>
      <c r="H7" s="1" t="s">
        <v>657</v>
      </c>
      <c r="I7" s="1"/>
      <c r="J7" s="5" t="s">
        <v>18</v>
      </c>
      <c r="K7" s="1"/>
    </row>
    <row r="8" spans="1:11" ht="26.25" customHeight="1" x14ac:dyDescent="0.25">
      <c r="A8" s="3">
        <v>124</v>
      </c>
      <c r="B8" s="6" t="s">
        <v>658</v>
      </c>
      <c r="C8" s="7" t="s">
        <v>633</v>
      </c>
      <c r="D8" s="7" t="s">
        <v>659</v>
      </c>
      <c r="E8" s="7" t="s">
        <v>660</v>
      </c>
      <c r="F8" s="7" t="s">
        <v>661</v>
      </c>
      <c r="G8" s="7" t="s">
        <v>662</v>
      </c>
      <c r="H8" s="7" t="s">
        <v>663</v>
      </c>
      <c r="I8" s="7"/>
      <c r="J8" s="8" t="s">
        <v>47</v>
      </c>
      <c r="K8" s="7"/>
    </row>
  </sheetData>
  <autoFilter ref="A1:K7" xr:uid="{00000000-0009-0000-0000-000017000000}"/>
  <mergeCells count="1">
    <mergeCell ref="A1:K1"/>
  </mergeCells>
  <dataValidations count="1">
    <dataValidation type="list" allowBlank="1" sqref="J2:J7" xr:uid="{00000000-0002-0000-1700-000000000000}">
      <formula1>"Pass,Fail,Pending,N/A"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6296-97FF-461A-A8C4-DECA59762FB5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25</vt:i4>
      </vt:variant>
    </vt:vector>
  </HeadingPairs>
  <TitlesOfParts>
    <vt:vector size="25" baseType="lpstr">
      <vt:lpstr>📋 Tất cả Test Case</vt:lpstr>
      <vt:lpstr>📊 Tổng kết</vt:lpstr>
      <vt:lpstr>🔐 Đăng nhập</vt:lpstr>
      <vt:lpstr>🔑 Quên mật khẩu</vt:lpstr>
      <vt:lpstr>🗺️ Sơ đồ phòng</vt:lpstr>
      <vt:lpstr>📅 Đặt phòng</vt:lpstr>
      <vt:lpstr>✅ Check-in</vt:lpstr>
      <vt:lpstr>🛎️ Thêm dịch vụ</vt:lpstr>
      <vt:lpstr>💳 Thanh toán</vt:lpstr>
      <vt:lpstr>🛏️ QL Phòng</vt:lpstr>
      <vt:lpstr>🏷️ QL Loại phòng</vt:lpstr>
      <vt:lpstr>📋 QL Đặt phòng</vt:lpstr>
      <vt:lpstr>🧾 QL Hóa đơn</vt:lpstr>
      <vt:lpstr>🍽️ QL Dịch vụ</vt:lpstr>
      <vt:lpstr>🪑 QL Tiện nghi</vt:lpstr>
      <vt:lpstr>👥 QL Khách hàng</vt:lpstr>
      <vt:lpstr>👤 QL Nhân viên</vt:lpstr>
      <vt:lpstr>🔒 QL Tài khoản</vt:lpstr>
      <vt:lpstr>📊 Thống kê</vt:lpstr>
      <vt:lpstr>💾 Sao lưu</vt:lpstr>
      <vt:lpstr>⚙️ Phục hồi</vt:lpstr>
      <vt:lpstr>🚪 Tính năng hỗ trợ</vt:lpstr>
      <vt:lpstr>🌐 Đăng xuất</vt:lpstr>
      <vt:lpstr>📌 Website</vt:lpstr>
      <vt:lpstr>Trang_tính1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Kim Khanh</cp:lastModifiedBy>
  <cp:revision>0</cp:revision>
  <dcterms:created xsi:type="dcterms:W3CDTF">2026-04-18T13:27:11Z</dcterms:created>
  <dcterms:modified xsi:type="dcterms:W3CDTF">2026-07-02T19:30:32Z</dcterms:modified>
  <dc:language>en-US</dc:language>
</cp:coreProperties>
</file>